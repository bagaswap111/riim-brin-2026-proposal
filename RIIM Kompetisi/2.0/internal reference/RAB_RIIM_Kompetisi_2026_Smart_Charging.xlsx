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ebe145a4f4e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cian (th1)" sheetId="1" r:id="Rd0ff2813c81e40a8"/>
    <x:sheet xmlns:r="http://schemas.openxmlformats.org/officeDocument/2006/relationships" name="Rincian (th2)" sheetId="2" r:id="R74f9cac9f8e741e9"/>
    <x:sheet xmlns:r="http://schemas.openxmlformats.org/officeDocument/2006/relationships" name="Rincian (th3)" sheetId="3" r:id="R0aeb55042c6442f5"/>
    <x:sheet xmlns:r="http://schemas.openxmlformats.org/officeDocument/2006/relationships" name="Rekap" sheetId="4" r:id="R9348032a853e4bbc"/>
    <x:sheet xmlns:r="http://schemas.openxmlformats.org/officeDocument/2006/relationships" name="Daftar Barang Dibeli" sheetId="5" r:id="Rc474064e91924c31"/>
    <x:sheet xmlns:r="http://schemas.openxmlformats.org/officeDocument/2006/relationships" name="Tim Periset" sheetId="6" r:id="R85aee3026fe149f4"/>
    <x:sheet xmlns:r="http://schemas.openxmlformats.org/officeDocument/2006/relationships" name="Catatan" sheetId="7" r:id="Rb94af9bc6d96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7F6000"/>
      <x:name val="Carlito"/>
    </x:font>
    <x:font>
      <x:b/>
      <x:sz val="11"/>
      <x:color rgb="FF215E21"/>
      <x:name val="Carlito"/>
    </x:font>
    <x:font>
      <x:i/>
      <x:sz val="11"/>
      <x:color rgb="FF7F1D1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C6E0B4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wrapText="1"/>
    </x:xf>
    <x:xf numFmtId="200" fontId="6" fillId="7" borderId="0" xfId="0" applyNumberFormat="1" applyFont="1" applyFill="1" applyBorder="1" applyAlignment="1">
      <x:alignment wrapText="1"/>
    </x:xf>
    <x:xf numFmtId="200" fontId="4" fillId="4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5" fillId="6" borderId="1" xfId="0" applyNumberFormat="1" applyFont="1" applyFill="1" applyBorder="1" applyAlignment="1">
      <x:alignment wrapText="1"/>
    </x:xf>
    <x:xf numFmtId="200" fontId="6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6" fillId="7" borderId="0" xfId="0" applyNumberFormat="1" applyFont="1" applyFill="1" applyBorder="1"/>
    <x:xf numFmtId="200" fontId="0" fillId="0" borderId="1" xfId="0" applyNumberFormat="1" applyFont="1" applyFill="1" applyBorder="1"/>
    <x:xf numFmtId="200" fontId="6" fillId="7" borderId="1" xfId="0" applyNumberFormat="1" applyFont="1" applyFill="1" applyBorder="1"/>
    <x:xf numFmtId="201" fontId="0" fillId="0" borderId="0" xfId="0" applyNumberFormat="1" applyFont="1" applyFill="1" applyBorder="1"/>
    <x:xf numFmtId="201" fontId="6" fillId="7" borderId="0" xfId="0" applyNumberFormat="1" applyFont="1" applyFill="1" applyBorder="1"/>
    <x:xf numFmtId="201" fontId="0" fillId="0" borderId="1" xfId="0" applyNumberFormat="1" applyFont="1" applyFill="1" applyBorder="1"/>
    <x:xf numFmtId="201" fontId="6" fillId="7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6" fillId="7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6" fillId="7" borderId="1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ace4776ae4486" /><Relationship Type="http://schemas.openxmlformats.org/officeDocument/2006/relationships/theme" Target="/xl/theme/theme1.xml" Id="R06666fb5d00e446c" /><Relationship Type="http://schemas.openxmlformats.org/officeDocument/2006/relationships/sharedStrings" Target="/xl/sharedStrings.xml" Id="R442e5fc788774e4e" /><Relationship Type="http://schemas.openxmlformats.org/officeDocument/2006/relationships/worksheet" Target="/xl/worksheets/sheet1.xml" Id="Rd0ff2813c81e40a8" /><Relationship Type="http://schemas.openxmlformats.org/officeDocument/2006/relationships/worksheet" Target="/xl/worksheets/sheet2.xml" Id="R74f9cac9f8e741e9" /><Relationship Type="http://schemas.openxmlformats.org/officeDocument/2006/relationships/worksheet" Target="/xl/worksheets/sheet3.xml" Id="R0aeb55042c6442f5" /><Relationship Type="http://schemas.openxmlformats.org/officeDocument/2006/relationships/worksheet" Target="/xl/worksheets/sheet4.xml" Id="R9348032a853e4bbc" /><Relationship Type="http://schemas.openxmlformats.org/officeDocument/2006/relationships/worksheet" Target="/xl/worksheets/sheet5.xml" Id="Rc474064e91924c31" /><Relationship Type="http://schemas.openxmlformats.org/officeDocument/2006/relationships/worksheet" Target="/xl/worksheets/sheet6.xml" Id="R85aee3026fe149f4" /><Relationship Type="http://schemas.openxmlformats.org/officeDocument/2006/relationships/worksheet" Target="/xl/worksheets/sheet7.xml" Id="Rb94af9bc6d9645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15" hidden="0" customWidth="1"/>
    <x:col min="4" max="4" width="47" hidden="0" customWidth="1"/>
    <x:col min="5" max="5" width="47" hidden="0" customWidth="1"/>
    <x:col min="6" max="6" width="10" hidden="0" customWidth="1"/>
    <x:col min="7" max="7" width="11" hidden="0" customWidth="1"/>
    <x:col min="8" max="8" width="17" hidden="0" customWidth="1"/>
    <x:col min="9" max="9" width="16" hidden="0" customWidth="1"/>
    <x:col min="10" max="10" width="19" hidden="0" customWidth="1"/>
    <x:col min="11" max="11" width="19" hidden="0" customWidth="1"/>
    <x:col min="12" max="12" width="17" hidden="0" customWidth="1"/>
    <x:col min="13" max="13" width="50" hidden="0" customWidth="1"/>
  </x:cols>
  <x:sheetData>
    <x:row r="1" ht="30" customHeight="1">
      <x:c r="A1" s="40" t="str">
        <x:v>RINCIAN USULAN RAB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 t="str">
        <x:v>TAHUN I</x:v>
      </x:c>
      <x:c r="L1" s="40"/>
      <x:c r="M1" s="40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 s="41" t="str">
        <x:v>Judul Riset</x:v>
      </x:c>
      <x:c r="B3" s="41"/>
      <x:c r="C3" s="41"/>
      <x:c r="D3" s="12" t="str">
        <x:v>:</x:v>
      </x:c>
      <x:c r="E3" s="12" t="str">
        <x:v>Pengembangan Smart Charging Hub Solar Hybrid PV–BESS–Grid Berbasis AI dan IoT-Edge dengan EMS Adaptif, Mode Islanding, dan Layanan Digital</x:v>
      </x:c>
      <x:c r="F3" s="12"/>
      <x:c r="G3" s="12"/>
      <x:c r="H3" s="12"/>
      <x:c r="I3" s="12"/>
      <x:c r="J3" s="12"/>
      <x:c r="K3" s="12"/>
      <x:c r="L3" s="12"/>
      <x:c r="M3" s="12"/>
    </x:row>
    <x:row r="4">
      <x:c r="A4" s="41" t="str">
        <x:v>Fokus/Skema</x:v>
      </x:c>
      <x:c r="B4" s="41"/>
      <x:c r="C4" s="41"/>
      <x:c r="D4" s="12" t="str">
        <x:v>:</x:v>
      </x:c>
      <x:c r="E4" s="12" t="str">
        <x:v>RIIM Kompetisi 2026 / Kedaulatan Energi</x:v>
      </x:c>
      <x:c r="F4" s="12"/>
      <x:c r="G4" s="12"/>
      <x:c r="H4" s="12"/>
      <x:c r="I4" s="12"/>
      <x:c r="J4" s="12"/>
      <x:c r="K4" s="12"/>
      <x:c r="L4" s="12"/>
      <x:c r="M4" s="12"/>
    </x:row>
    <x:row r="5">
      <x:c r="A5" s="41" t="str">
        <x:v>Ketua Periset</x:v>
      </x:c>
      <x:c r="B5" s="41"/>
      <x:c r="C5" s="41"/>
      <x:c r="D5" s="12" t="str">
        <x:v>:</x:v>
      </x:c>
      <x:c r="E5" s="12" t="str">
        <x:v>Prof. Dr. Subiyanto, S.T., M.T.</x:v>
      </x:c>
      <x:c r="F5" s="12"/>
      <x:c r="G5" s="12"/>
      <x:c r="H5" s="12"/>
      <x:c r="I5" s="12"/>
      <x:c r="J5" s="12"/>
      <x:c r="K5" s="12"/>
      <x:c r="L5" s="12"/>
      <x:c r="M5" s="12"/>
    </x:row>
    <x:row r="6">
      <x:c r="A6" s="41" t="str">
        <x:v>Institusi</x:v>
      </x:c>
      <x:c r="B6" s="41"/>
      <x:c r="C6" s="41"/>
      <x:c r="D6" s="12" t="str">
        <x:v>:</x:v>
      </x:c>
      <x:c r="E6" s="12" t="str">
        <x:v>Universitas Negeri Semarang</x:v>
      </x:c>
      <x:c r="F6" s="12"/>
      <x:c r="G6" s="12"/>
      <x:c r="H6" s="12"/>
      <x:c r="I6" s="12"/>
      <x:c r="J6" s="12"/>
      <x:c r="K6" s="12"/>
      <x:c r="L6" s="12"/>
      <x:c r="M6" s="12"/>
    </x:row>
    <x:row r="7">
      <x:c r="A7" s="41" t="str">
        <x:v>Mitra</x:v>
      </x:c>
      <x:c r="B7" s="41"/>
      <x:c r="C7" s="41"/>
      <x:c r="D7" s="12" t="str">
        <x:v>:</x:v>
      </x:c>
      <x:c r="E7" s="12" t="str">
        <x:v>PT. Arunika Sains Teknologi</x:v>
      </x:c>
      <x:c r="F7" s="12"/>
      <x:c r="G7" s="12"/>
      <x:c r="H7" s="12"/>
      <x:c r="I7" s="12"/>
      <x:c r="J7" s="12"/>
      <x:c r="K7" s="12"/>
      <x:c r="L7" s="12"/>
      <x:c r="M7" s="12"/>
    </x:row>
    <x:row r="8">
      <x:c r="A8" s="41" t="str">
        <x:v>Durasi</x:v>
      </x:c>
      <x:c r="B8" s="41"/>
      <x:c r="C8" s="41"/>
      <x:c r="D8" s="12" t="str">
        <x:v>:</x:v>
      </x:c>
      <x:c r="E8" s="12" t="str">
        <x:v>2 tahun; setiap periode 12 bulan</x:v>
      </x:c>
      <x:c r="F8" s="12"/>
      <x:c r="G8" s="12"/>
      <x:c r="H8" s="12"/>
      <x:c r="I8" s="12"/>
      <x:c r="J8" s="12"/>
      <x:c r="K8" s="12"/>
      <x:c r="L8" s="12"/>
      <x:c r="M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  <x:row r="10" ht="50" customHeight="1">
      <x:c r="A10" s="18" t="str">
        <x:v>No.</x:v>
      </x:c>
      <x:c r="B10" s="18" t="str"/>
      <x:c r="C10" s="18" t="str"/>
      <x:c r="D10" s="18" t="str">
        <x:v>Komponen Biaya / Aktivitas</x:v>
      </x:c>
      <x:c r="E10" s="18" t="str">
        <x:v>Justifikasi / Indikator Kinerja</x:v>
      </x:c>
      <x:c r="F10" s="18" t="str">
        <x:v>Volume</x:v>
      </x:c>
      <x:c r="G10" s="18" t="str">
        <x:v>Frekuensi</x:v>
      </x:c>
      <x:c r="H10" s="18" t="str">
        <x:v>Harga Satuan (Rp)</x:v>
      </x:c>
      <x:c r="I10" s="18" t="str">
        <x:v>Satuan</x:v>
      </x:c>
      <x:c r="J10" s="18" t="str">
        <x:v>Jumlah</x:v>
      </x:c>
      <x:c r="K10" s="18" t="str">
        <x:v>LPDP</x:v>
      </x:c>
      <x:c r="L10" s="18" t="str">
        <x:v>Mitra</x:v>
      </x:c>
      <x:c r="M10" s="18" t="str">
        <x:v>HPS / Sumber</x:v>
      </x:c>
    </x:row>
    <x:row r="11" ht="34" customHeight="1">
      <x:c r="A11" s="42" t="str">
        <x:v>I.</x:v>
      </x:c>
      <x:c r="B11" s="42" t="str">
        <x:v>BIAYA LANGSUNG</x:v>
      </x:c>
      <x:c r="C11" s="42"/>
      <x:c r="D11" s="42"/>
      <x:c r="E11" s="42"/>
      <x:c r="F11" s="42"/>
      <x:c r="G11" s="42"/>
      <x:c r="H11" s="52"/>
      <x:c r="I11" s="52"/>
      <x:c r="J11" s="52"/>
      <x:c r="K11" s="52"/>
      <x:c r="L11" s="52"/>
      <x:c r="M11" s="42"/>
    </x:row>
    <x:row r="12" ht="34" customHeight="1">
      <x:c r="A12" s="43"/>
      <x:c r="B12" s="43" t="str">
        <x:v>A.</x:v>
      </x:c>
      <x:c r="C12" s="43" t="str">
        <x:v>BIAYA LANGSUNG PERSONIL</x:v>
      </x:c>
      <x:c r="D12" s="43"/>
      <x:c r="E12" s="43"/>
      <x:c r="F12" s="43"/>
      <x:c r="G12" s="43"/>
      <x:c r="H12" s="53"/>
      <x:c r="I12" s="53"/>
      <x:c r="J12" s="53"/>
      <x:c r="K12" s="53"/>
      <x:c r="L12" s="53"/>
      <x:c r="M12" s="43"/>
    </x:row>
    <x:row r="13" ht="34" customHeight="1">
      <x:c r="A13" s="12"/>
      <x:c r="B13" s="12"/>
      <x:c r="C13" s="12" t="n">
        <x:v>1</x:v>
      </x:c>
      <x:c r="D13" s="12" t="str">
        <x:v>Prof. Dr. Subiyanto, S.T., M.T.</x:v>
      </x:c>
      <x:c r="E13" s="12" t="str">
        <x:v>Ketua periset; fase intensif 4 bulan</x:v>
      </x:c>
      <x:c r="F13" s="12" t="n">
        <x:v>1</x:v>
      </x:c>
      <x:c r="G13" s="12" t="n">
        <x:v>4</x:v>
      </x:c>
      <x:c r="H13" s="54" t="n">
        <x:v>3600000</x:v>
      </x:c>
      <x:c r="I13" s="54" t="str">
        <x:v>OB</x:v>
      </x:c>
      <x:c r="J13" s="54" t="n">
        <x:f>F13*G13*H13</x:f>
        <x:v>14400000</x:v>
      </x:c>
      <x:c r="K13" s="54" t="n">
        <x:f>J13-L13</x:f>
        <x:v>14400000</x:v>
      </x:c>
      <x:c r="L13" s="54" t="n">
        <x:v>0</x:v>
      </x:c>
      <x:c r="M13" s="12" t="str">
        <x:v>Satuan biaya RIIM Kompetisi 2026</x:v>
      </x:c>
    </x:row>
    <x:row r="14" ht="34" customHeight="1">
      <x:c r="A14" s="12"/>
      <x:c r="B14" s="12"/>
      <x:c r="C14" s="12" t="n">
        <x:v>2</x:v>
      </x:c>
      <x:c r="D14" s="12" t="str">
        <x:v>Bagaskoro Saputro, S.Si., M.Cs.</x:v>
      </x:c>
      <x:c r="E14" s="12" t="str">
        <x:v>Anggota; IoT-edge/CSMS/CMS/cybersecurity; 4 bulan</x:v>
      </x:c>
      <x:c r="F14" s="12" t="n">
        <x:v>1</x:v>
      </x:c>
      <x:c r="G14" s="12" t="n">
        <x:v>4</x:v>
      </x:c>
      <x:c r="H14" s="54" t="n">
        <x:v>2400000</x:v>
      </x:c>
      <x:c r="I14" s="54" t="str">
        <x:v>OB</x:v>
      </x:c>
      <x:c r="J14" s="54" t="n">
        <x:f>F14*G14*H14</x:f>
        <x:v>9600000</x:v>
      </x:c>
      <x:c r="K14" s="54" t="n">
        <x:f>J14-L14</x:f>
        <x:v>9600000</x:v>
      </x:c>
      <x:c r="L14" s="54" t="n">
        <x:v>0</x:v>
      </x:c>
      <x:c r="M14" s="12" t="str">
        <x:v>Satuan biaya RIIM Kompetisi 2026</x:v>
      </x:c>
    </x:row>
    <x:row r="15" ht="34" customHeight="1">
      <x:c r="A15" s="12"/>
      <x:c r="B15" s="12"/>
      <x:c r="C15" s="12" t="n">
        <x:v>3</x:v>
      </x:c>
      <x:c r="D15" s="12" t="str">
        <x:v>Mario Norman Syah, S.Pd., M.Eng.</x:v>
      </x:c>
      <x:c r="E15" s="12" t="str">
        <x:v>Anggota; PV–BESS dan EMS; 4 bulan</x:v>
      </x:c>
      <x:c r="F15" s="12" t="n">
        <x:v>1</x:v>
      </x:c>
      <x:c r="G15" s="12" t="n">
        <x:v>4</x:v>
      </x:c>
      <x:c r="H15" s="54" t="n">
        <x:v>2400000</x:v>
      </x:c>
      <x:c r="I15" s="54" t="str">
        <x:v>OB</x:v>
      </x:c>
      <x:c r="J15" s="54" t="n">
        <x:f>F15*G15*H15</x:f>
        <x:v>9600000</x:v>
      </x:c>
      <x:c r="K15" s="54" t="n">
        <x:f>J15-L15</x:f>
        <x:v>9600000</x:v>
      </x:c>
      <x:c r="L15" s="54" t="n">
        <x:v>0</x:v>
      </x:c>
      <x:c r="M15" s="12" t="str">
        <x:v>Satuan biaya RIIM Kompetisi 2026</x:v>
      </x:c>
    </x:row>
    <x:row r="16" ht="34" customHeight="1">
      <x:c r="A16" s="12"/>
      <x:c r="B16" s="12"/>
      <x:c r="C16" s="12" t="n">
        <x:v>4</x:v>
      </x:c>
      <x:c r="D16" s="12" t="str">
        <x:v>Adhe Lingga Dewi, S.Si., M.Si.</x:v>
      </x:c>
      <x:c r="E16" s="12" t="str">
        <x:v>Anggota; sensor, AI/ML dan data quality; 4 bulan</x:v>
      </x:c>
      <x:c r="F16" s="12" t="n">
        <x:v>1</x:v>
      </x:c>
      <x:c r="G16" s="12" t="n">
        <x:v>4</x:v>
      </x:c>
      <x:c r="H16" s="54" t="n">
        <x:v>2400000</x:v>
      </x:c>
      <x:c r="I16" s="54" t="str">
        <x:v>OB</x:v>
      </x:c>
      <x:c r="J16" s="54" t="n">
        <x:f>F16*G16*H16</x:f>
        <x:v>9600000</x:v>
      </x:c>
      <x:c r="K16" s="54" t="n">
        <x:f>J16-L16</x:f>
        <x:v>9600000</x:v>
      </x:c>
      <x:c r="L16" s="54" t="n">
        <x:v>0</x:v>
      </x:c>
      <x:c r="M16" s="12" t="str">
        <x:v>Satuan biaya RIIM Kompetisi 2026</x:v>
      </x:c>
    </x:row>
    <x:row r="17" ht="34" customHeight="1">
      <x:c r="A17" s="12"/>
      <x:c r="B17" s="12"/>
      <x:c r="C17" s="12" t="n">
        <x:v>5</x:v>
      </x:c>
      <x:c r="D17" s="12" t="str">
        <x:v>Ir. Turnad Lenggo Ginta, S.T., M.T., Ph.D.</x:v>
      </x:c>
      <x:c r="E17" s="12" t="str">
        <x:v>Anggota; kebijakan, dampak dan hilirisasi; 4 bulan</x:v>
      </x:c>
      <x:c r="F17" s="12" t="n">
        <x:v>1</x:v>
      </x:c>
      <x:c r="G17" s="12" t="n">
        <x:v>4</x:v>
      </x:c>
      <x:c r="H17" s="54" t="n">
        <x:v>2400000</x:v>
      </x:c>
      <x:c r="I17" s="54" t="str">
        <x:v>OB</x:v>
      </x:c>
      <x:c r="J17" s="54" t="n">
        <x:f>F17*G17*H17</x:f>
        <x:v>9600000</x:v>
      </x:c>
      <x:c r="K17" s="54" t="n">
        <x:f>J17-L17</x:f>
        <x:v>9600000</x:v>
      </x:c>
      <x:c r="L17" s="54" t="n">
        <x:v>0</x:v>
      </x:c>
      <x:c r="M17" s="12" t="str">
        <x:v>Satuan biaya RIIM Kompetisi 2026</x:v>
      </x:c>
    </x:row>
    <x:row r="18" ht="34" customHeight="1">
      <x:c r="A18" s="44"/>
      <x:c r="B18" s="44" t="str">
        <x:v>Total BLP</x:v>
      </x:c>
      <x:c r="C18" s="44"/>
      <x:c r="D18" s="44"/>
      <x:c r="E18" s="44"/>
      <x:c r="F18" s="44"/>
      <x:c r="G18" s="44"/>
      <x:c r="H18" s="55"/>
      <x:c r="I18" s="55"/>
      <x:c r="J18" s="55" t="n">
        <x:f>SUM(J13:J17)</x:f>
        <x:v>52800000</x:v>
      </x:c>
      <x:c r="K18" s="55" t="n">
        <x:f>SUM(K13:K17)</x:f>
        <x:v>52800000</x:v>
      </x:c>
      <x:c r="L18" s="55" t="n">
        <x:f>SUM(L13:L17)</x:f>
        <x:v>0</x:v>
      </x:c>
      <x:c r="M18" s="44"/>
    </x:row>
    <x:row r="19" ht="34" customHeight="1">
      <x:c r="A19" s="43"/>
      <x:c r="B19" s="43" t="str">
        <x:v>B.</x:v>
      </x:c>
      <x:c r="C19" s="43" t="str">
        <x:v>BIAYA LANGSUNG NONPERSONIL</x:v>
      </x:c>
      <x:c r="D19" s="43"/>
      <x:c r="E19" s="43"/>
      <x:c r="F19" s="43"/>
      <x:c r="G19" s="43"/>
      <x:c r="H19" s="53"/>
      <x:c r="I19" s="53"/>
      <x:c r="J19" s="53"/>
      <x:c r="K19" s="53"/>
      <x:c r="L19" s="53"/>
      <x:c r="M19" s="43"/>
    </x:row>
    <x:row r="20" ht="34" customHeight="1">
      <x:c r="A20" s="42"/>
      <x:c r="B20" s="42" t="str">
        <x:v>B.1</x:v>
      </x:c>
      <x:c r="C20" s="42" t="str">
        <x:v>Indikator 1</x:v>
      </x:c>
      <x:c r="D20" s="42" t="str">
        <x:v>Platform charger-display-IoT, PV-inverter dan EMS TKT 4</x:v>
      </x:c>
      <x:c r="E20" s="42" t="str">
        <x:v>Penyediaan objek uji, pembelian instrumentasi dan komponen fisik purwarupa.</x:v>
      </x:c>
      <x:c r="F20" s="42"/>
      <x:c r="G20" s="42"/>
      <x:c r="H20" s="52"/>
      <x:c r="I20" s="52"/>
      <x:c r="J20" s="52"/>
      <x:c r="K20" s="52"/>
      <x:c r="L20" s="52"/>
      <x:c r="M20" s="42"/>
    </x:row>
    <x:row r="21" ht="34" customHeight="1">
      <x:c r="A21" s="43"/>
      <x:c r="B21" s="43" t="str">
        <x:v>B.1.1</x:v>
      </x:c>
      <x:c r="C21" s="43" t="str">
        <x:v>Sewa/Fasilitas Perangkat Utama</x:v>
      </x:c>
      <x:c r="D21" s="43"/>
      <x:c r="E21" s="43"/>
      <x:c r="F21" s="43"/>
      <x:c r="G21" s="43"/>
      <x:c r="H21" s="53"/>
      <x:c r="I21" s="53"/>
      <x:c r="J21" s="53"/>
      <x:c r="K21" s="53"/>
      <x:c r="L21" s="53"/>
      <x:c r="M21" s="43"/>
    </x:row>
    <x:row r="22" ht="34" customHeight="1">
      <x:c r="A22" s="12"/>
      <x:c r="B22" s="12"/>
      <x:c r="C22" s="12" t="n">
        <x:v>1</x:v>
      </x:c>
      <x:c r="D22" s="12" t="str">
        <x:v>Sewa platform charger AC/DC dan display digital</x:v>
      </x:c>
      <x:c r="E22" s="12" t="str">
        <x:v>Pemanfaatan 4 charger AC, 1 charger DC dan display untuk integrasi</x:v>
      </x:c>
      <x:c r="F22" s="12" t="n">
        <x:v>1</x:v>
      </x:c>
      <x:c r="G22" s="12" t="n">
        <x:v>1</x:v>
      </x:c>
      <x:c r="H22" s="54" t="n">
        <x:v>35000000</x:v>
      </x:c>
      <x:c r="I22" s="54" t="str">
        <x:v>paket</x:v>
      </x:c>
      <x:c r="J22" s="54" t="n">
        <x:f>F22*G22*H22</x:f>
        <x:v>35000000</x:v>
      </x:c>
      <x:c r="K22" s="54" t="n">
        <x:f>J22-L22</x:f>
        <x:v>35000000</x:v>
      </x:c>
      <x:c r="L22" s="54" t="n">
        <x:v>0</x:v>
      </x:c>
      <x:c r="M22" s="12" t="str">
        <x:v>Quotation mitra/vendor</x:v>
      </x:c>
    </x:row>
    <x:row r="23" ht="34" customHeight="1">
      <x:c r="A23" s="12"/>
      <x:c r="B23" s="12"/>
      <x:c r="C23" s="12" t="n">
        <x:v>2</x:v>
      </x:c>
      <x:c r="D23" s="12" t="str">
        <x:v>Sewa subsistem PV 19,8 kWp dan hybrid inverter</x:v>
      </x:c>
      <x:c r="E23" s="12" t="str">
        <x:v>Uji aliran energi, kontrol daya dan EMS laboratorium</x:v>
      </x:c>
      <x:c r="F23" s="12" t="n">
        <x:v>1</x:v>
      </x:c>
      <x:c r="G23" s="12" t="n">
        <x:v>1</x:v>
      </x:c>
      <x:c r="H23" s="54" t="n">
        <x:v>20000000</x:v>
      </x:c>
      <x:c r="I23" s="54" t="str">
        <x:v>paket</x:v>
      </x:c>
      <x:c r="J23" s="54" t="n">
        <x:f>F23*G23*H23</x:f>
        <x:v>20000000</x:v>
      </x:c>
      <x:c r="K23" s="54" t="n">
        <x:f>J23-L23</x:f>
        <x:v>20000000</x:v>
      </x:c>
      <x:c r="L23" s="54" t="n">
        <x:v>0</x:v>
      </x:c>
      <x:c r="M23" s="12" t="str">
        <x:v>Quotation fasilitas/vendor</x:v>
      </x:c>
    </x:row>
    <x:row r="24" ht="34" customHeight="1">
      <x:c r="A24" s="44"/>
      <x:c r="B24" s="44"/>
      <x:c r="C24" s="44" t="str">
        <x:v>Subtotal</x:v>
      </x:c>
      <x:c r="D24" s="44"/>
      <x:c r="E24" s="44"/>
      <x:c r="F24" s="44"/>
      <x:c r="G24" s="44"/>
      <x:c r="H24" s="55"/>
      <x:c r="I24" s="55"/>
      <x:c r="J24" s="55" t="n">
        <x:f>SUM(J22:J23)</x:f>
        <x:v>55000000</x:v>
      </x:c>
      <x:c r="K24" s="55" t="n">
        <x:f>SUM(K22:K23)</x:f>
        <x:v>55000000</x:v>
      </x:c>
      <x:c r="L24" s="55" t="n">
        <x:f>SUM(L22:L23)</x:f>
        <x:v>0</x:v>
      </x:c>
      <x:c r="M24" s="44"/>
    </x:row>
    <x:row r="25" ht="34" customHeight="1">
      <x:c r="A25" s="43"/>
      <x:c r="B25" s="43" t="str">
        <x:v>B.1.2</x:v>
      </x:c>
      <x:c r="C25" s="43" t="str">
        <x:v>Belanja Modal Instrumentasi</x:v>
      </x:c>
      <x:c r="D25" s="43"/>
      <x:c r="E25" s="43"/>
      <x:c r="F25" s="43"/>
      <x:c r="G25" s="43"/>
      <x:c r="H25" s="53"/>
      <x:c r="I25" s="53"/>
      <x:c r="J25" s="53"/>
      <x:c r="K25" s="53"/>
      <x:c r="L25" s="53"/>
      <x:c r="M25" s="43"/>
    </x:row>
    <x:row r="26" ht="34" customHeight="1">
      <x:c r="A26" s="12"/>
      <x:c r="B26" s="12"/>
      <x:c r="C26" s="12" t="n">
        <x:v>1</x:v>
      </x:c>
      <x:c r="D26" s="12" t="str">
        <x:v>Industrial IoT gateway</x:v>
      </x:c>
      <x:c r="E26" s="12" t="str">
        <x:v>Akuisisi OCPP/Modbus/MQTT, buffering dan watchdog</x:v>
      </x:c>
      <x:c r="F26" s="12" t="n">
        <x:v>2</x:v>
      </x:c>
      <x:c r="G26" s="12" t="n">
        <x:v>1</x:v>
      </x:c>
      <x:c r="H26" s="54" t="n">
        <x:v>2000000</x:v>
      </x:c>
      <x:c r="I26" s="54" t="str">
        <x:v>unit</x:v>
      </x:c>
      <x:c r="J26" s="54" t="n">
        <x:f>F26*G26*H26</x:f>
        <x:v>4000000</x:v>
      </x:c>
      <x:c r="K26" s="54" t="n">
        <x:f>J26-L26</x:f>
        <x:v>4000000</x:v>
      </x:c>
      <x:c r="L26" s="54" t="n">
        <x:v>0</x:v>
      </x:c>
      <x:c r="M26" s="12" t="str">
        <x:v>HPS vendor; aset institusi</x:v>
      </x:c>
    </x:row>
    <x:row r="27" ht="34" customHeight="1">
      <x:c r="A27" s="12"/>
      <x:c r="B27" s="12"/>
      <x:c r="C27" s="12" t="n">
        <x:v>2</x:v>
      </x:c>
      <x:c r="D27" s="12" t="str">
        <x:v>Embedded edge controller</x:v>
      </x:c>
      <x:c r="E27" s="12" t="str">
        <x:v>Eksekusi lokal EMS, data-quality checking dan fallback</x:v>
      </x:c>
      <x:c r="F27" s="12" t="n">
        <x:v>2</x:v>
      </x:c>
      <x:c r="G27" s="12" t="n">
        <x:v>1</x:v>
      </x:c>
      <x:c r="H27" s="54" t="n">
        <x:v>2500000</x:v>
      </x:c>
      <x:c r="I27" s="54" t="str">
        <x:v>unit</x:v>
      </x:c>
      <x:c r="J27" s="54" t="n">
        <x:f>F27*G27*H27</x:f>
        <x:v>5000000</x:v>
      </x:c>
      <x:c r="K27" s="54" t="n">
        <x:f>J27-L27</x:f>
        <x:v>5000000</x:v>
      </x:c>
      <x:c r="L27" s="54" t="n">
        <x:v>0</x:v>
      </x:c>
      <x:c r="M27" s="12" t="str">
        <x:v>HPS vendor; aset institusi</x:v>
      </x:c>
    </x:row>
    <x:row r="28" ht="34" customHeight="1">
      <x:c r="A28" s="12"/>
      <x:c r="B28" s="12"/>
      <x:c r="C28" s="12" t="n">
        <x:v>3</x:v>
      </x:c>
      <x:c r="D28" s="12" t="str">
        <x:v>Energy meter tiga fasa</x:v>
      </x:c>
      <x:c r="E28" s="12" t="str">
        <x:v>Metering independen daya grid dan charger</x:v>
      </x:c>
      <x:c r="F28" s="12" t="n">
        <x:v>2</x:v>
      </x:c>
      <x:c r="G28" s="12" t="n">
        <x:v>1</x:v>
      </x:c>
      <x:c r="H28" s="54" t="n">
        <x:v>2000000</x:v>
      </x:c>
      <x:c r="I28" s="54" t="str">
        <x:v>unit</x:v>
      </x:c>
      <x:c r="J28" s="54" t="n">
        <x:f>F28*G28*H28</x:f>
        <x:v>4000000</x:v>
      </x:c>
      <x:c r="K28" s="54" t="n">
        <x:f>J28-L28</x:f>
        <x:v>4000000</x:v>
      </x:c>
      <x:c r="L28" s="54" t="n">
        <x:v>0</x:v>
      </x:c>
      <x:c r="M28" s="12" t="str">
        <x:v>HPS vendor; aset institusi</x:v>
      </x:c>
    </x:row>
    <x:row r="29" ht="34" customHeight="1">
      <x:c r="A29" s="12"/>
      <x:c r="B29" s="12"/>
      <x:c r="C29" s="12" t="n">
        <x:v>4</x:v>
      </x:c>
      <x:c r="D29" s="12" t="str">
        <x:v>DC energy meter</x:v>
      </x:c>
      <x:c r="E29" s="12" t="str">
        <x:v>Pengukuran aliran daya sisi DC PV/BESS</x:v>
      </x:c>
      <x:c r="F29" s="12" t="n">
        <x:v>2</x:v>
      </x:c>
      <x:c r="G29" s="12" t="n">
        <x:v>1</x:v>
      </x:c>
      <x:c r="H29" s="54" t="n">
        <x:v>1500000</x:v>
      </x:c>
      <x:c r="I29" s="54" t="str">
        <x:v>unit</x:v>
      </x:c>
      <x:c r="J29" s="54" t="n">
        <x:f>F29*G29*H29</x:f>
        <x:v>3000000</x:v>
      </x:c>
      <x:c r="K29" s="54" t="n">
        <x:f>J29-L29</x:f>
        <x:v>3000000</x:v>
      </x:c>
      <x:c r="L29" s="54" t="n">
        <x:v>0</x:v>
      </x:c>
      <x:c r="M29" s="12" t="str">
        <x:v>HPS vendor; aset institusi</x:v>
      </x:c>
    </x:row>
    <x:row r="30" ht="34" customHeight="1">
      <x:c r="A30" s="12"/>
      <x:c r="B30" s="12"/>
      <x:c r="C30" s="12" t="n">
        <x:v>5</x:v>
      </x:c>
      <x:c r="D30" s="12" t="str">
        <x:v>Managed industrial Ethernet switch</x:v>
      </x:c>
      <x:c r="E30" s="12" t="str">
        <x:v>Segmentasi jaringan perangkat OT/IoT</x:v>
      </x:c>
      <x:c r="F30" s="12" t="n">
        <x:v>1</x:v>
      </x:c>
      <x:c r="G30" s="12" t="n">
        <x:v>1</x:v>
      </x:c>
      <x:c r="H30" s="54" t="n">
        <x:v>2500000</x:v>
      </x:c>
      <x:c r="I30" s="54" t="str">
        <x:v>unit</x:v>
      </x:c>
      <x:c r="J30" s="54" t="n">
        <x:f>F30*G30*H30</x:f>
        <x:v>2500000</x:v>
      </x:c>
      <x:c r="K30" s="54" t="n">
        <x:f>J30-L30</x:f>
        <x:v>2500000</x:v>
      </x:c>
      <x:c r="L30" s="54" t="n">
        <x:v>0</x:v>
      </x:c>
      <x:c r="M30" s="12" t="str">
        <x:v>HPS vendor; aset institusi</x:v>
      </x:c>
    </x:row>
    <x:row r="31" ht="34" customHeight="1">
      <x:c r="A31" s="12"/>
      <x:c r="B31" s="12"/>
      <x:c r="C31" s="12" t="n">
        <x:v>6</x:v>
      </x:c>
      <x:c r="D31" s="12" t="str">
        <x:v>Industrial 4G router</x:v>
      </x:c>
      <x:c r="E31" s="12" t="str">
        <x:v>Konektivitas dan redundansi komunikasi</x:v>
      </x:c>
      <x:c r="F31" s="12" t="n">
        <x:v>1</x:v>
      </x:c>
      <x:c r="G31" s="12" t="n">
        <x:v>1</x:v>
      </x:c>
      <x:c r="H31" s="54" t="n">
        <x:v>2000000</x:v>
      </x:c>
      <x:c r="I31" s="54" t="str">
        <x:v>unit</x:v>
      </x:c>
      <x:c r="J31" s="54" t="n">
        <x:f>F31*G31*H31</x:f>
        <x:v>2000000</x:v>
      </x:c>
      <x:c r="K31" s="54" t="n">
        <x:f>J31-L31</x:f>
        <x:v>2000000</x:v>
      </x:c>
      <x:c r="L31" s="54" t="n">
        <x:v>0</x:v>
      </x:c>
      <x:c r="M31" s="12" t="str">
        <x:v>HPS vendor; aset institusi</x:v>
      </x:c>
    </x:row>
    <x:row r="32" ht="34" customHeight="1">
      <x:c r="A32" s="12"/>
      <x:c r="B32" s="12"/>
      <x:c r="C32" s="12" t="n">
        <x:v>7</x:v>
      </x:c>
      <x:c r="D32" s="12" t="str">
        <x:v>NAS/edge storage</x:v>
      </x:c>
      <x:c r="E32" s="12" t="str">
        <x:v>Penyimpanan telemetri lokal dan backup</x:v>
      </x:c>
      <x:c r="F32" s="12" t="n">
        <x:v>1</x:v>
      </x:c>
      <x:c r="G32" s="12" t="n">
        <x:v>1</x:v>
      </x:c>
      <x:c r="H32" s="54" t="n">
        <x:v>3000000</x:v>
      </x:c>
      <x:c r="I32" s="54" t="str">
        <x:v>unit</x:v>
      </x:c>
      <x:c r="J32" s="54" t="n">
        <x:f>F32*G32*H32</x:f>
        <x:v>3000000</x:v>
      </x:c>
      <x:c r="K32" s="54" t="n">
        <x:f>J32-L32</x:f>
        <x:v>3000000</x:v>
      </x:c>
      <x:c r="L32" s="54" t="n">
        <x:v>0</x:v>
      </x:c>
      <x:c r="M32" s="12" t="str">
        <x:v>HPS vendor; aset institusi</x:v>
      </x:c>
    </x:row>
    <x:row r="33" ht="34" customHeight="1">
      <x:c r="A33" s="12"/>
      <x:c r="B33" s="12"/>
      <x:c r="C33" s="12" t="n">
        <x:v>8</x:v>
      </x:c>
      <x:c r="D33" s="12" t="str">
        <x:v>Portable irradiance-temperature reference meter</x:v>
      </x:c>
      <x:c r="E33" s="12" t="str">
        <x:v>Referensi pengukuran sensor PV dan kalibrasi lapangan</x:v>
      </x:c>
      <x:c r="F33" s="12" t="n">
        <x:v>1</x:v>
      </x:c>
      <x:c r="G33" s="12" t="n">
        <x:v>1</x:v>
      </x:c>
      <x:c r="H33" s="54" t="n">
        <x:v>1500000</x:v>
      </x:c>
      <x:c r="I33" s="54" t="str">
        <x:v>unit</x:v>
      </x:c>
      <x:c r="J33" s="54" t="n">
        <x:f>F33*G33*H33</x:f>
        <x:v>1500000</x:v>
      </x:c>
      <x:c r="K33" s="54" t="n">
        <x:f>J33-L33</x:f>
        <x:v>1500000</x:v>
      </x:c>
      <x:c r="L33" s="54" t="n">
        <x:v>0</x:v>
      </x:c>
      <x:c r="M33" s="12" t="str">
        <x:v>HPS vendor; aset institusi</x:v>
      </x:c>
    </x:row>
    <x:row r="34" ht="34" customHeight="1">
      <x:c r="A34" s="44"/>
      <x:c r="B34" s="44"/>
      <x:c r="C34" s="44" t="str">
        <x:v>Subtotal</x:v>
      </x:c>
      <x:c r="D34" s="44"/>
      <x:c r="E34" s="44"/>
      <x:c r="F34" s="44"/>
      <x:c r="G34" s="44"/>
      <x:c r="H34" s="55"/>
      <x:c r="I34" s="55"/>
      <x:c r="J34" s="55" t="n">
        <x:f>SUM(J26:J33)</x:f>
        <x:v>25000000</x:v>
      </x:c>
      <x:c r="K34" s="55" t="n">
        <x:f>SUM(K26:K33)</x:f>
        <x:v>25000000</x:v>
      </x:c>
      <x:c r="L34" s="55" t="n">
        <x:f>SUM(L26:L33)</x:f>
        <x:v>0</x:v>
      </x:c>
      <x:c r="M34" s="44"/>
    </x:row>
    <x:row r="35" ht="34" customHeight="1">
      <x:c r="A35" s="43"/>
      <x:c r="B35" s="43" t="str">
        <x:v>B.1.3</x:v>
      </x:c>
      <x:c r="C35" s="43" t="str">
        <x:v>Bahan dan Komponen Purwarupa</x:v>
      </x:c>
      <x:c r="D35" s="43"/>
      <x:c r="E35" s="43"/>
      <x:c r="F35" s="43"/>
      <x:c r="G35" s="43"/>
      <x:c r="H35" s="53"/>
      <x:c r="I35" s="53"/>
      <x:c r="J35" s="53"/>
      <x:c r="K35" s="53"/>
      <x:c r="L35" s="53"/>
      <x:c r="M35" s="43"/>
    </x:row>
    <x:row r="36" ht="34" customHeight="1">
      <x:c r="A36" s="12"/>
      <x:c r="B36" s="12"/>
      <x:c r="C36" s="12" t="n">
        <x:v>1</x:v>
      </x:c>
      <x:c r="D36" s="12" t="str">
        <x:v>Set smart socket controller</x:v>
      </x:c>
      <x:c r="E36" s="12" t="str">
        <x:v>ESP32/MCU, relay, CT dan konektor untuk 8 titik mikromobilitas</x:v>
      </x:c>
      <x:c r="F36" s="12" t="n">
        <x:v>8</x:v>
      </x:c>
      <x:c r="G36" s="12" t="n">
        <x:v>1</x:v>
      </x:c>
      <x:c r="H36" s="54" t="n">
        <x:v>600000</x:v>
      </x:c>
      <x:c r="I36" s="54" t="str">
        <x:v>set</x:v>
      </x:c>
      <x:c r="J36" s="54" t="n">
        <x:f>F36*G36*H36</x:f>
        <x:v>4800000</x:v>
      </x:c>
      <x:c r="K36" s="54" t="n">
        <x:f>J36-L36</x:f>
        <x:v>4800000</x:v>
      </x:c>
      <x:c r="L36" s="54" t="n">
        <x:v>0</x:v>
      </x:c>
      <x:c r="M36" s="12" t="str">
        <x:v>Komponen terintegrasi dalam purwarupa</x:v>
      </x:c>
    </x:row>
    <x:row r="37" ht="34" customHeight="1">
      <x:c r="A37" s="12"/>
      <x:c r="B37" s="12"/>
      <x:c r="C37" s="12" t="n">
        <x:v>2</x:v>
      </x:c>
      <x:c r="D37" s="12" t="str">
        <x:v>Current transformer sensor</x:v>
      </x:c>
      <x:c r="E37" s="12" t="str">
        <x:v>Akuisisi arus pada charger, display dan auxiliary load</x:v>
      </x:c>
      <x:c r="F37" s="12" t="n">
        <x:v>12</x:v>
      </x:c>
      <x:c r="G37" s="12" t="n">
        <x:v>1</x:v>
      </x:c>
      <x:c r="H37" s="54" t="n">
        <x:v>200000</x:v>
      </x:c>
      <x:c r="I37" s="54" t="str">
        <x:v>unit</x:v>
      </x:c>
      <x:c r="J37" s="54" t="n">
        <x:f>F37*G37*H37</x:f>
        <x:v>2400000</x:v>
      </x:c>
      <x:c r="K37" s="54" t="n">
        <x:f>J37-L37</x:f>
        <x:v>2400000</x:v>
      </x:c>
      <x:c r="L37" s="54" t="n">
        <x:v>0</x:v>
      </x:c>
      <x:c r="M37" s="12" t="str">
        <x:v>Komponen terintegrasi dalam purwarupa</x:v>
      </x:c>
    </x:row>
    <x:row r="38" ht="34" customHeight="1">
      <x:c r="A38" s="12"/>
      <x:c r="B38" s="12"/>
      <x:c r="C38" s="12" t="n">
        <x:v>3</x:v>
      </x:c>
      <x:c r="D38" s="12" t="str">
        <x:v>Voltage transducer terisolasi</x:v>
      </x:c>
      <x:c r="E38" s="12" t="str">
        <x:v>Pengukuran tegangan AC/DC dengan isolasi</x:v>
      </x:c>
      <x:c r="F38" s="12" t="n">
        <x:v>6</x:v>
      </x:c>
      <x:c r="G38" s="12" t="n">
        <x:v>1</x:v>
      </x:c>
      <x:c r="H38" s="54" t="n">
        <x:v>250000</x:v>
      </x:c>
      <x:c r="I38" s="54" t="str">
        <x:v>unit</x:v>
      </x:c>
      <x:c r="J38" s="54" t="n">
        <x:f>F38*G38*H38</x:f>
        <x:v>1500000</x:v>
      </x:c>
      <x:c r="K38" s="54" t="n">
        <x:f>J38-L38</x:f>
        <x:v>1500000</x:v>
      </x:c>
      <x:c r="L38" s="54" t="n">
        <x:v>0</x:v>
      </x:c>
      <x:c r="M38" s="12" t="str">
        <x:v>Komponen terintegrasi dalam purwarupa</x:v>
      </x:c>
    </x:row>
    <x:row r="39" ht="34" customHeight="1">
      <x:c r="A39" s="12"/>
      <x:c r="B39" s="12"/>
      <x:c r="C39" s="12" t="n">
        <x:v>4</x:v>
      </x:c>
      <x:c r="D39" s="12" t="str">
        <x:v>Sensor temperatur multipoint</x:v>
      </x:c>
      <x:c r="E39" s="12" t="str">
        <x:v>Monitoring temperatur panel, charger dan enclosure</x:v>
      </x:c>
      <x:c r="F39" s="12" t="n">
        <x:v>12</x:v>
      </x:c>
      <x:c r="G39" s="12" t="n">
        <x:v>1</x:v>
      </x:c>
      <x:c r="H39" s="54" t="n">
        <x:v>100000</x:v>
      </x:c>
      <x:c r="I39" s="54" t="str">
        <x:v>unit</x:v>
      </x:c>
      <x:c r="J39" s="54" t="n">
        <x:f>F39*G39*H39</x:f>
        <x:v>1200000</x:v>
      </x:c>
      <x:c r="K39" s="54" t="n">
        <x:f>J39-L39</x:f>
        <x:v>1200000</x:v>
      </x:c>
      <x:c r="L39" s="54" t="n">
        <x:v>0</x:v>
      </x:c>
      <x:c r="M39" s="12" t="str">
        <x:v>Komponen terintegrasi dalam purwarupa</x:v>
      </x:c>
    </x:row>
    <x:row r="40" ht="34" customHeight="1">
      <x:c r="A40" s="12"/>
      <x:c r="B40" s="12"/>
      <x:c r="C40" s="12" t="n">
        <x:v>5</x:v>
      </x:c>
      <x:c r="D40" s="12" t="str">
        <x:v>RS485–Ethernet converter</x:v>
      </x:c>
      <x:c r="E40" s="12" t="str">
        <x:v>Integrasi meter dan inverter ke gateway</x:v>
      </x:c>
      <x:c r="F40" s="12" t="n">
        <x:v>5</x:v>
      </x:c>
      <x:c r="G40" s="12" t="n">
        <x:v>1</x:v>
      </x:c>
      <x:c r="H40" s="54" t="n">
        <x:v>400000</x:v>
      </x:c>
      <x:c r="I40" s="54" t="str">
        <x:v>unit</x:v>
      </x:c>
      <x:c r="J40" s="54" t="n">
        <x:f>F40*G40*H40</x:f>
        <x:v>2000000</x:v>
      </x:c>
      <x:c r="K40" s="54" t="n">
        <x:f>J40-L40</x:f>
        <x:v>2000000</x:v>
      </x:c>
      <x:c r="L40" s="54" t="n">
        <x:v>0</x:v>
      </x:c>
      <x:c r="M40" s="12" t="str">
        <x:v>Komponen terintegrasi dalam purwarupa</x:v>
      </x:c>
    </x:row>
    <x:row r="41" ht="34" customHeight="1">
      <x:c r="A41" s="12"/>
      <x:c r="B41" s="12"/>
      <x:c r="C41" s="12" t="n">
        <x:v>6</x:v>
      </x:c>
      <x:c r="D41" s="12" t="str">
        <x:v>CAN–RS485/CAN–Ethernet converter</x:v>
      </x:c>
      <x:c r="E41" s="12" t="str">
        <x:v>Antarmuka BMS dan controller</x:v>
      </x:c>
      <x:c r="F41" s="12" t="n">
        <x:v>2</x:v>
      </x:c>
      <x:c r="G41" s="12" t="n">
        <x:v>1</x:v>
      </x:c>
      <x:c r="H41" s="54" t="n">
        <x:v>750000</x:v>
      </x:c>
      <x:c r="I41" s="54" t="str">
        <x:v>unit</x:v>
      </x:c>
      <x:c r="J41" s="54" t="n">
        <x:f>F41*G41*H41</x:f>
        <x:v>1500000</x:v>
      </x:c>
      <x:c r="K41" s="54" t="n">
        <x:f>J41-L41</x:f>
        <x:v>1500000</x:v>
      </x:c>
      <x:c r="L41" s="54" t="n">
        <x:v>0</x:v>
      </x:c>
      <x:c r="M41" s="12" t="str">
        <x:v>Komponen terintegrasi dalam purwarupa</x:v>
      </x:c>
    </x:row>
    <x:row r="42" ht="34" customHeight="1">
      <x:c r="A42" s="12"/>
      <x:c r="B42" s="12"/>
      <x:c r="C42" s="12" t="n">
        <x:v>7</x:v>
      </x:c>
      <x:c r="D42" s="12" t="str">
        <x:v>Contactor dan solid-state relay</x:v>
      </x:c>
      <x:c r="E42" s="12" t="str">
        <x:v>Switching beban dan load prioritization</x:v>
      </x:c>
      <x:c r="F42" s="12" t="n">
        <x:v>8</x:v>
      </x:c>
      <x:c r="G42" s="12" t="n">
        <x:v>1</x:v>
      </x:c>
      <x:c r="H42" s="54" t="n">
        <x:v>500000</x:v>
      </x:c>
      <x:c r="I42" s="54" t="str">
        <x:v>set</x:v>
      </x:c>
      <x:c r="J42" s="54" t="n">
        <x:f>F42*G42*H42</x:f>
        <x:v>4000000</x:v>
      </x:c>
      <x:c r="K42" s="54" t="n">
        <x:f>J42-L42</x:f>
        <x:v>4000000</x:v>
      </x:c>
      <x:c r="L42" s="54" t="n">
        <x:v>0</x:v>
      </x:c>
      <x:c r="M42" s="12" t="str">
        <x:v>Komponen terintegrasi dalam purwarupa</x:v>
      </x:c>
    </x:row>
    <x:row r="43" ht="34" customHeight="1">
      <x:c r="A43" s="12"/>
      <x:c r="B43" s="12"/>
      <x:c r="C43" s="12" t="n">
        <x:v>8</x:v>
      </x:c>
      <x:c r="D43" s="12" t="str">
        <x:v>Paket MCB/MCCB/SPD/fuse</x:v>
      </x:c>
      <x:c r="E43" s="12" t="str">
        <x:v>Proteksi arus lebih, hubung singkat dan surge</x:v>
      </x:c>
      <x:c r="F43" s="12" t="n">
        <x:v>1</x:v>
      </x:c>
      <x:c r="G43" s="12" t="n">
        <x:v>1</x:v>
      </x:c>
      <x:c r="H43" s="54" t="n">
        <x:v>6000000</x:v>
      </x:c>
      <x:c r="I43" s="54" t="str">
        <x:v>paket</x:v>
      </x:c>
      <x:c r="J43" s="54" t="n">
        <x:f>F43*G43*H43</x:f>
        <x:v>6000000</x:v>
      </x:c>
      <x:c r="K43" s="54" t="n">
        <x:f>J43-L43</x:f>
        <x:v>6000000</x:v>
      </x:c>
      <x:c r="L43" s="54" t="n">
        <x:v>0</x:v>
      </x:c>
      <x:c r="M43" s="12" t="str">
        <x:v>Bahan prototipe</x:v>
      </x:c>
    </x:row>
    <x:row r="44" ht="34" customHeight="1">
      <x:c r="A44" s="12"/>
      <x:c r="B44" s="12"/>
      <x:c r="C44" s="12" t="n">
        <x:v>9</x:v>
      </x:c>
      <x:c r="D44" s="12" t="str">
        <x:v>Emergency-stop module</x:v>
      </x:c>
      <x:c r="E44" s="12" t="str">
        <x:v>Pemutusan darurat charger dan auxiliary load</x:v>
      </x:c>
      <x:c r="F44" s="12" t="n">
        <x:v>5</x:v>
      </x:c>
      <x:c r="G44" s="12" t="n">
        <x:v>1</x:v>
      </x:c>
      <x:c r="H44" s="54" t="n">
        <x:v>300000</x:v>
      </x:c>
      <x:c r="I44" s="54" t="str">
        <x:v>unit</x:v>
      </x:c>
      <x:c r="J44" s="54" t="n">
        <x:f>F44*G44*H44</x:f>
        <x:v>1500000</x:v>
      </x:c>
      <x:c r="K44" s="54" t="n">
        <x:f>J44-L44</x:f>
        <x:v>1500000</x:v>
      </x:c>
      <x:c r="L44" s="54" t="n">
        <x:v>0</x:v>
      </x:c>
      <x:c r="M44" s="12" t="str">
        <x:v>Komponen terintegrasi dalam purwarupa</x:v>
      </x:c>
    </x:row>
    <x:row r="45" ht="34" customHeight="1">
      <x:c r="A45" s="12"/>
      <x:c r="B45" s="12"/>
      <x:c r="C45" s="12" t="n">
        <x:v>10</x:v>
      </x:c>
      <x:c r="D45" s="12" t="str">
        <x:v>Enclosure IP65</x:v>
      </x:c>
      <x:c r="E45" s="12" t="str">
        <x:v>Pelindung node kontrol dan metering</x:v>
      </x:c>
      <x:c r="F45" s="12" t="n">
        <x:v>5</x:v>
      </x:c>
      <x:c r="G45" s="12" t="n">
        <x:v>1</x:v>
      </x:c>
      <x:c r="H45" s="54" t="n">
        <x:v>600000</x:v>
      </x:c>
      <x:c r="I45" s="54" t="str">
        <x:v>unit</x:v>
      </x:c>
      <x:c r="J45" s="54" t="n">
        <x:f>F45*G45*H45</x:f>
        <x:v>3000000</x:v>
      </x:c>
      <x:c r="K45" s="54" t="n">
        <x:f>J45-L45</x:f>
        <x:v>3000000</x:v>
      </x:c>
      <x:c r="L45" s="54" t="n">
        <x:v>0</x:v>
      </x:c>
      <x:c r="M45" s="12" t="str">
        <x:v>Komponen terintegrasi dalam purwarupa</x:v>
      </x:c>
    </x:row>
    <x:row r="46" ht="34" customHeight="1">
      <x:c r="A46" s="12"/>
      <x:c r="B46" s="12"/>
      <x:c r="C46" s="12" t="n">
        <x:v>11</x:v>
      </x:c>
      <x:c r="D46" s="12" t="str">
        <x:v>Terminal, cable gland dan wiring control</x:v>
      </x:c>
      <x:c r="E46" s="12" t="str">
        <x:v>Perakitan panel dan koneksi sensor</x:v>
      </x:c>
      <x:c r="F46" s="12" t="n">
        <x:v>1</x:v>
      </x:c>
      <x:c r="G46" s="12" t="n">
        <x:v>1</x:v>
      </x:c>
      <x:c r="H46" s="54" t="n">
        <x:v>4000000</x:v>
      </x:c>
      <x:c r="I46" s="54" t="str">
        <x:v>lot</x:v>
      </x:c>
      <x:c r="J46" s="54" t="n">
        <x:f>F46*G46*H46</x:f>
        <x:v>4000000</x:v>
      </x:c>
      <x:c r="K46" s="54" t="n">
        <x:f>J46-L46</x:f>
        <x:v>4000000</x:v>
      </x:c>
      <x:c r="L46" s="54" t="n">
        <x:v>0</x:v>
      </x:c>
      <x:c r="M46" s="12" t="str">
        <x:v>Bahan prototipe</x:v>
      </x:c>
    </x:row>
    <x:row r="47" ht="34" customHeight="1">
      <x:c r="A47" s="12"/>
      <x:c r="B47" s="12"/>
      <x:c r="C47" s="12" t="n">
        <x:v>12</x:v>
      </x:c>
      <x:c r="D47" s="12" t="str">
        <x:v>PCB, protoboard dan komponen elektronik</x:v>
      </x:c>
      <x:c r="E47" s="12" t="str">
        <x:v>Iterasi node sensor, interface dan firmware</x:v>
      </x:c>
      <x:c r="F47" s="12" t="n">
        <x:v>1</x:v>
      </x:c>
      <x:c r="G47" s="12" t="n">
        <x:v>1</x:v>
      </x:c>
      <x:c r="H47" s="54" t="n">
        <x:v>4000000</x:v>
      </x:c>
      <x:c r="I47" s="54" t="str">
        <x:v>lot</x:v>
      </x:c>
      <x:c r="J47" s="54" t="n">
        <x:f>F47*G47*H47</x:f>
        <x:v>4000000</x:v>
      </x:c>
      <x:c r="K47" s="54" t="n">
        <x:f>J47-L47</x:f>
        <x:v>4000000</x:v>
      </x:c>
      <x:c r="L47" s="54" t="n">
        <x:v>0</x:v>
      </x:c>
      <x:c r="M47" s="12" t="str">
        <x:v>Bahan prototipe</x:v>
      </x:c>
    </x:row>
    <x:row r="48" ht="34" customHeight="1">
      <x:c r="A48" s="12"/>
      <x:c r="B48" s="12"/>
      <x:c r="C48" s="12" t="n">
        <x:v>13</x:v>
      </x:c>
      <x:c r="D48" s="12" t="str">
        <x:v>RFID/NFC reader</x:v>
      </x:c>
      <x:c r="E48" s="12" t="str">
        <x:v>Autentikasi pengguna dan uji akses charger</x:v>
      </x:c>
      <x:c r="F48" s="12" t="n">
        <x:v>5</x:v>
      </x:c>
      <x:c r="G48" s="12" t="n">
        <x:v>1</x:v>
      </x:c>
      <x:c r="H48" s="54" t="n">
        <x:v>300000</x:v>
      </x:c>
      <x:c r="I48" s="54" t="str">
        <x:v>unit</x:v>
      </x:c>
      <x:c r="J48" s="54" t="n">
        <x:f>F48*G48*H48</x:f>
        <x:v>1500000</x:v>
      </x:c>
      <x:c r="K48" s="54" t="n">
        <x:f>J48-L48</x:f>
        <x:v>1500000</x:v>
      </x:c>
      <x:c r="L48" s="54" t="n">
        <x:v>0</x:v>
      </x:c>
      <x:c r="M48" s="12" t="str">
        <x:v>Komponen terintegrasi dalam purwarupa</x:v>
      </x:c>
    </x:row>
    <x:row r="49" ht="34" customHeight="1">
      <x:c r="A49" s="12"/>
      <x:c r="B49" s="12"/>
      <x:c r="C49" s="12" t="n">
        <x:v>14</x:v>
      </x:c>
      <x:c r="D49" s="12" t="str">
        <x:v>Industrial data cable dan connector</x:v>
      </x:c>
      <x:c r="E49" s="12" t="str">
        <x:v>Kabel RS485/CAN/Ethernet serta konektor industri</x:v>
      </x:c>
      <x:c r="F49" s="12" t="n">
        <x:v>1</x:v>
      </x:c>
      <x:c r="G49" s="12" t="n">
        <x:v>1</x:v>
      </x:c>
      <x:c r="H49" s="54" t="n">
        <x:v>2600000</x:v>
      </x:c>
      <x:c r="I49" s="54" t="str">
        <x:v>lot</x:v>
      </x:c>
      <x:c r="J49" s="54" t="n">
        <x:f>F49*G49*H49</x:f>
        <x:v>2600000</x:v>
      </x:c>
      <x:c r="K49" s="54" t="n">
        <x:f>J49-L49</x:f>
        <x:v>2600000</x:v>
      </x:c>
      <x:c r="L49" s="54" t="n">
        <x:v>0</x:v>
      </x:c>
      <x:c r="M49" s="12" t="str">
        <x:v>Bahan prototipe</x:v>
      </x:c>
    </x:row>
    <x:row r="50" ht="34" customHeight="1">
      <x:c r="A50" s="44"/>
      <x:c r="B50" s="44"/>
      <x:c r="C50" s="44" t="str">
        <x:v>Subtotal</x:v>
      </x:c>
      <x:c r="D50" s="44"/>
      <x:c r="E50" s="44"/>
      <x:c r="F50" s="44"/>
      <x:c r="G50" s="44"/>
      <x:c r="H50" s="55"/>
      <x:c r="I50" s="55"/>
      <x:c r="J50" s="55" t="n">
        <x:f>SUM(J36:J49)</x:f>
        <x:v>40000000</x:v>
      </x:c>
      <x:c r="K50" s="55" t="n">
        <x:f>SUM(K36:K49)</x:f>
        <x:v>40000000</x:v>
      </x:c>
      <x:c r="L50" s="55" t="n">
        <x:f>SUM(L36:L49)</x:f>
        <x:v>0</x:v>
      </x:c>
      <x:c r="M50" s="44"/>
    </x:row>
    <x:row r="51" ht="34" customHeight="1">
      <x:c r="A51" s="44"/>
      <x:c r="B51" s="44" t="str">
        <x:v>Total Indikator</x:v>
      </x:c>
      <x:c r="C51" s="44"/>
      <x:c r="D51" s="44"/>
      <x:c r="E51" s="44"/>
      <x:c r="F51" s="44"/>
      <x:c r="G51" s="44"/>
      <x:c r="H51" s="55"/>
      <x:c r="I51" s="55"/>
      <x:c r="J51" s="55" t="n">
        <x:f>J24+J34+J50</x:f>
        <x:v>120000000</x:v>
      </x:c>
      <x:c r="K51" s="55" t="n">
        <x:f>K24+K34+K50</x:f>
        <x:v>120000000</x:v>
      </x:c>
      <x:c r="L51" s="55" t="n">
        <x:f>L24+L34+L50</x:f>
        <x:v>0</x:v>
      </x:c>
      <x:c r="M51" s="44"/>
    </x:row>
    <x:row r="52" ht="34" customHeight="1">
      <x:c r="A52" s="42"/>
      <x:c r="B52" s="42" t="str">
        <x:v>B.2</x:v>
      </x:c>
      <x:c r="C52" s="42" t="str">
        <x:v>Indikator 2</x:v>
      </x:c>
      <x:c r="D52" s="42" t="str">
        <x:v>AI–IoT–EMS, pengujian, KI dan kesiapan pilot</x:v>
      </x:c>
      <x:c r="E52" s="42" t="str">
        <x:v>Pengembangan perangkat lunak, validasi, dokumentasi dan persiapan lokasi.</x:v>
      </x:c>
      <x:c r="F52" s="42"/>
      <x:c r="G52" s="42"/>
      <x:c r="H52" s="52"/>
      <x:c r="I52" s="52"/>
      <x:c r="J52" s="52"/>
      <x:c r="K52" s="52"/>
      <x:c r="L52" s="52"/>
      <x:c r="M52" s="42"/>
    </x:row>
    <x:row r="53" ht="34" customHeight="1">
      <x:c r="A53" s="43"/>
      <x:c r="B53" s="43" t="str">
        <x:v>B.2.1</x:v>
      </x:c>
      <x:c r="C53" s="43" t="str">
        <x:v>Jasa Pengembangan Perangkat Lunak</x:v>
      </x:c>
      <x:c r="D53" s="43"/>
      <x:c r="E53" s="43"/>
      <x:c r="F53" s="43"/>
      <x:c r="G53" s="43"/>
      <x:c r="H53" s="53"/>
      <x:c r="I53" s="53"/>
      <x:c r="J53" s="53"/>
      <x:c r="K53" s="53"/>
      <x:c r="L53" s="53"/>
      <x:c r="M53" s="43"/>
    </x:row>
    <x:row r="54" ht="34" customHeight="1">
      <x:c r="A54" s="12"/>
      <x:c r="B54" s="12"/>
      <x:c r="C54" s="12" t="n">
        <x:v>1</x:v>
      </x:c>
      <x:c r="D54" s="12" t="str">
        <x:v>Pengembangan firmware gateway</x:v>
      </x:c>
      <x:c r="E54" s="12" t="str">
        <x:v>OCPP/Modbus/MQTT, buffering, watchdog dan OTA</x:v>
      </x:c>
      <x:c r="F54" s="12" t="n">
        <x:v>1</x:v>
      </x:c>
      <x:c r="G54" s="12" t="n">
        <x:v>1</x:v>
      </x:c>
      <x:c r="H54" s="54" t="n">
        <x:v>10000000</x:v>
      </x:c>
      <x:c r="I54" s="54" t="str">
        <x:v>paket</x:v>
      </x:c>
      <x:c r="J54" s="54" t="n">
        <x:f>F54*G54*H54</x:f>
        <x:v>10000000</x:v>
      </x:c>
      <x:c r="K54" s="54" t="n">
        <x:f>J54-L54</x:f>
        <x:v>10000000</x:v>
      </x:c>
      <x:c r="L54" s="54" t="n">
        <x:v>0</x:v>
      </x:c>
      <x:c r="M54" s="12" t="str">
        <x:v>HPS jasa teknis</x:v>
      </x:c>
    </x:row>
    <x:row r="55" ht="34" customHeight="1">
      <x:c r="A55" s="12"/>
      <x:c r="B55" s="12"/>
      <x:c r="C55" s="12" t="n">
        <x:v>2</x:v>
      </x:c>
      <x:c r="D55" s="12" t="str">
        <x:v>Pengembangan backend, CSMS/CMS dan dashboard</x:v>
      </x:c>
      <x:c r="E55" s="12" t="str">
        <x:v>API, database dan dashboard energi/layanan digital</x:v>
      </x:c>
      <x:c r="F55" s="12" t="n">
        <x:v>1</x:v>
      </x:c>
      <x:c r="G55" s="12" t="n">
        <x:v>1</x:v>
      </x:c>
      <x:c r="H55" s="54" t="n">
        <x:v>12000000</x:v>
      </x:c>
      <x:c r="I55" s="54" t="str">
        <x:v>paket</x:v>
      </x:c>
      <x:c r="J55" s="54" t="n">
        <x:f>F55*G55*H55</x:f>
        <x:v>12000000</x:v>
      </x:c>
      <x:c r="K55" s="54" t="n">
        <x:f>J55-L55</x:f>
        <x:v>12000000</x:v>
      </x:c>
      <x:c r="L55" s="54" t="n">
        <x:v>0</x:v>
      </x:c>
      <x:c r="M55" s="12" t="str">
        <x:v>HPS jasa teknis</x:v>
      </x:c>
    </x:row>
    <x:row r="56" ht="34" customHeight="1">
      <x:c r="A56" s="12"/>
      <x:c r="B56" s="12"/>
      <x:c r="C56" s="12" t="n">
        <x:v>3</x:v>
      </x:c>
      <x:c r="D56" s="12" t="str">
        <x:v>Pengembangan EMS dan model AI v1</x:v>
      </x:c>
      <x:c r="E56" s="12" t="str">
        <x:v>Forecasting, anomaly detection, peak shaving dan fallback</x:v>
      </x:c>
      <x:c r="F56" s="12" t="n">
        <x:v>1</x:v>
      </x:c>
      <x:c r="G56" s="12" t="n">
        <x:v>1</x:v>
      </x:c>
      <x:c r="H56" s="54" t="n">
        <x:v>8000000</x:v>
      </x:c>
      <x:c r="I56" s="54" t="str">
        <x:v>paket</x:v>
      </x:c>
      <x:c r="J56" s="54" t="n">
        <x:f>F56*G56*H56</x:f>
        <x:v>8000000</x:v>
      </x:c>
      <x:c r="K56" s="54" t="n">
        <x:f>J56-L56</x:f>
        <x:v>8000000</x:v>
      </x:c>
      <x:c r="L56" s="54" t="n">
        <x:v>0</x:v>
      </x:c>
      <x:c r="M56" s="12" t="str">
        <x:v>HPS jasa teknis</x:v>
      </x:c>
    </x:row>
    <x:row r="57" ht="34" customHeight="1">
      <x:c r="A57" s="12"/>
      <x:c r="B57" s="12"/>
      <x:c r="C57" s="12" t="n">
        <x:v>4</x:v>
      </x:c>
      <x:c r="D57" s="12" t="str">
        <x:v>Cloud dan cybersecurity hardening</x:v>
      </x:c>
      <x:c r="E57" s="12" t="str">
        <x:v>TLS/VPN, RBAC, audit log, server dan backup</x:v>
      </x:c>
      <x:c r="F57" s="12" t="n">
        <x:v>1</x:v>
      </x:c>
      <x:c r="G57" s="12" t="n">
        <x:v>1</x:v>
      </x:c>
      <x:c r="H57" s="54" t="n">
        <x:v>5000000</x:v>
      </x:c>
      <x:c r="I57" s="54" t="str">
        <x:v>paket</x:v>
      </x:c>
      <x:c r="J57" s="54" t="n">
        <x:f>F57*G57*H57</x:f>
        <x:v>5000000</x:v>
      </x:c>
      <x:c r="K57" s="54" t="n">
        <x:f>J57-L57</x:f>
        <x:v>5000000</x:v>
      </x:c>
      <x:c r="L57" s="54" t="n">
        <x:v>0</x:v>
      </x:c>
      <x:c r="M57" s="12" t="str">
        <x:v>HPS layanan</x:v>
      </x:c>
    </x:row>
    <x:row r="58" ht="34" customHeight="1">
      <x:c r="A58" s="44"/>
      <x:c r="B58" s="44"/>
      <x:c r="C58" s="44" t="str">
        <x:v>Subtotal</x:v>
      </x:c>
      <x:c r="D58" s="44"/>
      <x:c r="E58" s="44"/>
      <x:c r="F58" s="44"/>
      <x:c r="G58" s="44"/>
      <x:c r="H58" s="55"/>
      <x:c r="I58" s="55"/>
      <x:c r="J58" s="55" t="n">
        <x:f>SUM(J54:J57)</x:f>
        <x:v>35000000</x:v>
      </x:c>
      <x:c r="K58" s="55" t="n">
        <x:f>SUM(K54:K57)</x:f>
        <x:v>35000000</x:v>
      </x:c>
      <x:c r="L58" s="55" t="n">
        <x:f>SUM(L54:L57)</x:f>
        <x:v>0</x:v>
      </x:c>
      <x:c r="M58" s="44"/>
    </x:row>
    <x:row r="59" ht="34" customHeight="1">
      <x:c r="A59" s="43"/>
      <x:c r="B59" s="43" t="str">
        <x:v>B.2.2</x:v>
      </x:c>
      <x:c r="C59" s="43" t="str">
        <x:v>Pengujian, Lapangan dan Luaran</x:v>
      </x:c>
      <x:c r="D59" s="43"/>
      <x:c r="E59" s="43"/>
      <x:c r="F59" s="43"/>
      <x:c r="G59" s="43"/>
      <x:c r="H59" s="53"/>
      <x:c r="I59" s="53"/>
      <x:c r="J59" s="53"/>
      <x:c r="K59" s="53"/>
      <x:c r="L59" s="53"/>
      <x:c r="M59" s="43"/>
    </x:row>
    <x:row r="60" ht="34" customHeight="1">
      <x:c r="A60" s="12"/>
      <x:c r="B60" s="12"/>
      <x:c r="C60" s="12" t="n">
        <x:v>1</x:v>
      </x:c>
      <x:c r="D60" s="12" t="str">
        <x:v>Sewa alat uji power quality/source/load</x:v>
      </x:c>
      <x:c r="E60" s="12" t="str">
        <x:v>Pengujian perangkat nyata tanpa SIL/HIL</x:v>
      </x:c>
      <x:c r="F60" s="12" t="n">
        <x:v>1</x:v>
      </x:c>
      <x:c r="G60" s="12" t="n">
        <x:v>1</x:v>
      </x:c>
      <x:c r="H60" s="54" t="n">
        <x:v>8000000</x:v>
      </x:c>
      <x:c r="I60" s="54" t="str">
        <x:v>paket</x:v>
      </x:c>
      <x:c r="J60" s="54" t="n">
        <x:f>F60*G60*H60</x:f>
        <x:v>8000000</x:v>
      </x:c>
      <x:c r="K60" s="54" t="n">
        <x:f>J60-L60</x:f>
        <x:v>8000000</x:v>
      </x:c>
      <x:c r="L60" s="54" t="n">
        <x:v>0</x:v>
      </x:c>
      <x:c r="M60" s="12" t="str">
        <x:v>HPS laboratorium</x:v>
      </x:c>
    </x:row>
    <x:row r="61" ht="34" customHeight="1">
      <x:c r="A61" s="12"/>
      <x:c r="B61" s="12"/>
      <x:c r="C61" s="12" t="n">
        <x:v>2</x:v>
      </x:c>
      <x:c r="D61" s="12" t="str">
        <x:v>Kalibrasi dan uji proteksi/keselamatan</x:v>
      </x:c>
      <x:c r="E61" s="12" t="str">
        <x:v>Kalibrasi meter, trip, interlock dan emergency stop</x:v>
      </x:c>
      <x:c r="F61" s="12" t="n">
        <x:v>1</x:v>
      </x:c>
      <x:c r="G61" s="12" t="n">
        <x:v>1</x:v>
      </x:c>
      <x:c r="H61" s="54" t="n">
        <x:v>7000000</x:v>
      </x:c>
      <x:c r="I61" s="54" t="str">
        <x:v>paket</x:v>
      </x:c>
      <x:c r="J61" s="54" t="n">
        <x:f>F61*G61*H61</x:f>
        <x:v>7000000</x:v>
      </x:c>
      <x:c r="K61" s="54" t="n">
        <x:f>J61-L61</x:f>
        <x:v>7000000</x:v>
      </x:c>
      <x:c r="L61" s="54" t="n">
        <x:v>0</x:v>
      </x:c>
      <x:c r="M61" s="12" t="str">
        <x:v>Laboratorium/penyedia jasa</x:v>
      </x:c>
    </x:row>
    <x:row r="62" ht="34" customHeight="1">
      <x:c r="A62" s="12"/>
      <x:c r="B62" s="12"/>
      <x:c r="C62" s="12" t="n">
        <x:v>3</x:v>
      </x:c>
      <x:c r="D62" s="12" t="str">
        <x:v>Pengujian interoperabilitas OCPP</x:v>
      </x:c>
      <x:c r="E62" s="12" t="str">
        <x:v>Status, meter values, remote start/stop dan charging profile</x:v>
      </x:c>
      <x:c r="F62" s="12" t="n">
        <x:v>1</x:v>
      </x:c>
      <x:c r="G62" s="12" t="n">
        <x:v>1</x:v>
      </x:c>
      <x:c r="H62" s="54" t="n">
        <x:v>4000000</x:v>
      </x:c>
      <x:c r="I62" s="54" t="str">
        <x:v>paket</x:v>
      </x:c>
      <x:c r="J62" s="54" t="n">
        <x:f>F62*G62*H62</x:f>
        <x:v>4000000</x:v>
      </x:c>
      <x:c r="K62" s="54" t="n">
        <x:f>J62-L62</x:f>
        <x:v>4000000</x:v>
      </x:c>
      <x:c r="L62" s="54" t="n">
        <x:v>0</x:v>
      </x:c>
      <x:c r="M62" s="12" t="str">
        <x:v>HPS jasa</x:v>
      </x:c>
    </x:row>
    <x:row r="63" ht="34" customHeight="1">
      <x:c r="A63" s="12"/>
      <x:c r="B63" s="12"/>
      <x:c r="C63" s="12" t="n">
        <x:v>4</x:v>
      </x:c>
      <x:c r="D63" s="12" t="str">
        <x:v>Site audit, FGD dan perjalanan dalam negeri</x:v>
      </x:c>
      <x:c r="E63" s="12" t="str">
        <x:v>Profil beban, shading, kebutuhan pengguna dan koordinasi</x:v>
      </x:c>
      <x:c r="F63" s="12" t="n">
        <x:v>1</x:v>
      </x:c>
      <x:c r="G63" s="12" t="n">
        <x:v>1</x:v>
      </x:c>
      <x:c r="H63" s="54" t="n">
        <x:v>6000000</x:v>
      </x:c>
      <x:c r="I63" s="54" t="str">
        <x:v>paket</x:v>
      </x:c>
      <x:c r="J63" s="54" t="n">
        <x:f>F63*G63*H63</x:f>
        <x:v>6000000</x:v>
      </x:c>
      <x:c r="K63" s="54" t="n">
        <x:f>J63-L63</x:f>
        <x:v>6000000</x:v>
      </x:c>
      <x:c r="L63" s="54" t="n">
        <x:v>0</x:v>
      </x:c>
      <x:c r="M63" s="12" t="str">
        <x:v>SBM tahun berjalan</x:v>
      </x:c>
    </x:row>
    <x:row r="64" ht="34" customHeight="1">
      <x:c r="A64" s="12"/>
      <x:c r="B64" s="12"/>
      <x:c r="C64" s="12" t="n">
        <x:v>5</x:v>
      </x:c>
      <x:c r="D64" s="12" t="str">
        <x:v>Penyusunan KI, DMP, ICD dan SOP awal</x:v>
      </x:c>
      <x:c r="E64" s="12" t="str">
        <x:v>Paten/paten sederhana, data dictionary dan dokumen teknis</x:v>
      </x:c>
      <x:c r="F64" s="12" t="n">
        <x:v>1</x:v>
      </x:c>
      <x:c r="G64" s="12" t="n">
        <x:v>1</x:v>
      </x:c>
      <x:c r="H64" s="54" t="n">
        <x:v>4700000</x:v>
      </x:c>
      <x:c r="I64" s="54" t="str">
        <x:v>paket</x:v>
      </x:c>
      <x:c r="J64" s="54" t="n">
        <x:f>F64*G64*H64</x:f>
        <x:v>4700000</x:v>
      </x:c>
      <x:c r="K64" s="54" t="n">
        <x:f>J64-L64</x:f>
        <x:v>4700000</x:v>
      </x:c>
      <x:c r="L64" s="54" t="n">
        <x:v>0</x:v>
      </x:c>
      <x:c r="M64" s="12" t="str">
        <x:v>DJKI/HPS jasa</x:v>
      </x:c>
    </x:row>
    <x:row r="65" ht="34" customHeight="1">
      <x:c r="A65" s="44"/>
      <x:c r="B65" s="44"/>
      <x:c r="C65" s="44" t="str">
        <x:v>Subtotal</x:v>
      </x:c>
      <x:c r="D65" s="44"/>
      <x:c r="E65" s="44"/>
      <x:c r="F65" s="44"/>
      <x:c r="G65" s="44"/>
      <x:c r="H65" s="55"/>
      <x:c r="I65" s="55"/>
      <x:c r="J65" s="55" t="n">
        <x:f>SUM(J60:J64)</x:f>
        <x:v>29700000</x:v>
      </x:c>
      <x:c r="K65" s="55" t="n">
        <x:f>SUM(K60:K64)</x:f>
        <x:v>29700000</x:v>
      </x:c>
      <x:c r="L65" s="55" t="n">
        <x:f>SUM(L60:L64)</x:f>
        <x:v>0</x:v>
      </x:c>
      <x:c r="M65" s="44"/>
    </x:row>
    <x:row r="66" ht="34" customHeight="1">
      <x:c r="A66" s="44"/>
      <x:c r="B66" s="44" t="str">
        <x:v>Total Indikator</x:v>
      </x:c>
      <x:c r="C66" s="44"/>
      <x:c r="D66" s="44"/>
      <x:c r="E66" s="44"/>
      <x:c r="F66" s="44"/>
      <x:c r="G66" s="44"/>
      <x:c r="H66" s="55"/>
      <x:c r="I66" s="55"/>
      <x:c r="J66" s="55" t="n">
        <x:f>J58+J65</x:f>
        <x:v>64700000</x:v>
      </x:c>
      <x:c r="K66" s="55" t="n">
        <x:f>K58+K65</x:f>
        <x:v>64700000</x:v>
      </x:c>
      <x:c r="L66" s="55" t="n">
        <x:f>L58+L65</x:f>
        <x:v>0</x:v>
      </x:c>
      <x:c r="M66" s="44"/>
    </x:row>
    <x:row r="67" ht="34" customHeight="1">
      <x:c r="A67" s="45" t="str">
        <x:v>TOTAL BLNP</x:v>
      </x:c>
      <x:c r="B67" s="45"/>
      <x:c r="C67" s="45"/>
      <x:c r="D67" s="45"/>
      <x:c r="E67" s="45"/>
      <x:c r="F67" s="45"/>
      <x:c r="G67" s="45"/>
      <x:c r="H67" s="56"/>
      <x:c r="I67" s="56"/>
      <x:c r="J67" s="56" t="n">
        <x:f>J51+J66</x:f>
        <x:v>184700000</x:v>
      </x:c>
      <x:c r="K67" s="56" t="n">
        <x:f>K51+K66</x:f>
        <x:v>184700000</x:v>
      </x:c>
      <x:c r="L67" s="56" t="n">
        <x:f>L51+L66</x:f>
        <x:v>0</x:v>
      </x:c>
      <x:c r="M67" s="45"/>
    </x:row>
    <x:row r="68" ht="34" customHeight="1">
      <x:c r="A68" s="45" t="str">
        <x:v>TOTAL I (BIAYA LANGSUNG)</x:v>
      </x:c>
      <x:c r="B68" s="45"/>
      <x:c r="C68" s="45"/>
      <x:c r="D68" s="45"/>
      <x:c r="E68" s="45"/>
      <x:c r="F68" s="45"/>
      <x:c r="G68" s="45"/>
      <x:c r="H68" s="56"/>
      <x:c r="I68" s="56"/>
      <x:c r="J68" s="56" t="n">
        <x:f>J18+J67</x:f>
        <x:v>237500000</x:v>
      </x:c>
      <x:c r="K68" s="56" t="n">
        <x:f>K18+K67</x:f>
        <x:v>237500000</x:v>
      </x:c>
      <x:c r="L68" s="56" t="n">
        <x:f>L18+L67</x:f>
        <x:v>0</x:v>
      </x:c>
      <x:c r="M68" s="45"/>
    </x:row>
    <x:row r="69" ht="34" customHeight="1">
      <x:c r="A69" s="12"/>
      <x:c r="B69" s="12"/>
      <x:c r="C69" s="12"/>
      <x:c r="D69" s="12"/>
      <x:c r="E69" s="12"/>
      <x:c r="F69" s="12"/>
      <x:c r="G69" s="12"/>
      <x:c r="H69" s="54"/>
      <x:c r="I69" s="54"/>
      <x:c r="J69" s="54"/>
      <x:c r="K69" s="54"/>
      <x:c r="L69" s="54"/>
      <x:c r="M69" s="12"/>
    </x:row>
    <x:row r="70" ht="34" customHeight="1">
      <x:c r="A70" s="42" t="str">
        <x:v>II.</x:v>
      </x:c>
      <x:c r="B70" s="42" t="str">
        <x:v>BIAYA TIDAK LANGSUNG</x:v>
      </x:c>
      <x:c r="C70" s="42"/>
      <x:c r="D70" s="42"/>
      <x:c r="E70" s="42"/>
      <x:c r="F70" s="42"/>
      <x:c r="G70" s="42"/>
      <x:c r="H70" s="52"/>
      <x:c r="I70" s="52"/>
      <x:c r="J70" s="52"/>
      <x:c r="K70" s="52"/>
      <x:c r="L70" s="52"/>
      <x:c r="M70" s="42"/>
    </x:row>
    <x:row r="71" ht="34" customHeight="1">
      <x:c r="A71" s="43"/>
      <x:c r="B71" s="43" t="str">
        <x:v>A.</x:v>
      </x:c>
      <x:c r="C71" s="43" t="str">
        <x:v>Monitoring Internal Tahap I</x:v>
      </x:c>
      <x:c r="D71" s="43" t="str">
        <x:v>Review metodologi, progres, DMP dan realisasi anggaran.</x:v>
      </x:c>
      <x:c r="E71" s="43"/>
      <x:c r="F71" s="43"/>
      <x:c r="G71" s="43"/>
      <x:c r="H71" s="53"/>
      <x:c r="I71" s="53"/>
      <x:c r="J71" s="53"/>
      <x:c r="K71" s="53"/>
      <x:c r="L71" s="53"/>
      <x:c r="M71" s="43"/>
    </x:row>
    <x:row r="72" ht="34" customHeight="1">
      <x:c r="A72" s="12"/>
      <x:c r="B72" s="12"/>
      <x:c r="C72" s="12" t="n">
        <x:v>1</x:v>
      </x:c>
      <x:c r="D72" s="12" t="str">
        <x:v>Honor reviewer internal</x:v>
      </x:c>
      <x:c r="E72" s="12" t="str">
        <x:v>Monev tahap I</x:v>
      </x:c>
      <x:c r="F72" s="12" t="n">
        <x:v>2</x:v>
      </x:c>
      <x:c r="G72" s="12" t="n">
        <x:v>2</x:v>
      </x:c>
      <x:c r="H72" s="54" t="n">
        <x:v>1000000</x:v>
      </x:c>
      <x:c r="I72" s="54" t="str">
        <x:v>OJ</x:v>
      </x:c>
      <x:c r="J72" s="54" t="n">
        <x:f>F72*G72*H72</x:f>
        <x:v>4000000</x:v>
      </x:c>
      <x:c r="K72" s="54" t="n">
        <x:f>J72-L72</x:f>
        <x:v>4000000</x:v>
      </x:c>
      <x:c r="L72" s="54" t="n">
        <x:v>0</x:v>
      </x:c>
      <x:c r="M72" s="12" t="str">
        <x:v>SBM/internal</x:v>
      </x:c>
    </x:row>
    <x:row r="73" ht="34" customHeight="1">
      <x:c r="A73" s="12"/>
      <x:c r="B73" s="12"/>
      <x:c r="C73" s="12" t="n">
        <x:v>2</x:v>
      </x:c>
      <x:c r="D73" s="12" t="str">
        <x:v>Transportasi reviewer</x:v>
      </x:c>
      <x:c r="E73" s="12" t="str">
        <x:v>Monev tahap I</x:v>
      </x:c>
      <x:c r="F73" s="12" t="n">
        <x:v>2</x:v>
      </x:c>
      <x:c r="G73" s="12" t="n">
        <x:v>1</x:v>
      </x:c>
      <x:c r="H73" s="54" t="n">
        <x:v>500000</x:v>
      </x:c>
      <x:c r="I73" s="54" t="str">
        <x:v>perjalanan</x:v>
      </x:c>
      <x:c r="J73" s="54" t="n">
        <x:f>F73*G73*H73</x:f>
        <x:v>1000000</x:v>
      </x:c>
      <x:c r="K73" s="54" t="n">
        <x:f>J73-L73</x:f>
        <x:v>1000000</x:v>
      </x:c>
      <x:c r="L73" s="54" t="n">
        <x:v>0</x:v>
      </x:c>
      <x:c r="M73" s="12" t="str">
        <x:v>SBM</x:v>
      </x:c>
    </x:row>
    <x:row r="74" ht="34" customHeight="1">
      <x:c r="A74" s="12"/>
      <x:c r="B74" s="12"/>
      <x:c r="C74" s="12" t="n">
        <x:v>3</x:v>
      </x:c>
      <x:c r="D74" s="12" t="str">
        <x:v>Akomodasi reviewer</x:v>
      </x:c>
      <x:c r="E74" s="12" t="str">
        <x:v>Monev tahap I</x:v>
      </x:c>
      <x:c r="F74" s="12" t="n">
        <x:v>1</x:v>
      </x:c>
      <x:c r="G74" s="12" t="n">
        <x:v>1</x:v>
      </x:c>
      <x:c r="H74" s="54" t="n">
        <x:v>750000</x:v>
      </x:c>
      <x:c r="I74" s="54" t="str">
        <x:v>malam</x:v>
      </x:c>
      <x:c r="J74" s="54" t="n">
        <x:f>F74*G74*H74</x:f>
        <x:v>750000</x:v>
      </x:c>
      <x:c r="K74" s="54" t="n">
        <x:f>J74-L74</x:f>
        <x:v>750000</x:v>
      </x:c>
      <x:c r="L74" s="54" t="n">
        <x:v>0</x:v>
      </x:c>
      <x:c r="M74" s="12" t="str">
        <x:v>SBM</x:v>
      </x:c>
    </x:row>
    <x:row r="75" ht="34" customHeight="1">
      <x:c r="A75" s="12"/>
      <x:c r="B75" s="12"/>
      <x:c r="C75" s="12" t="n">
        <x:v>4</x:v>
      </x:c>
      <x:c r="D75" s="12" t="str">
        <x:v>Konsumsi rapat monev</x:v>
      </x:c>
      <x:c r="E75" s="12" t="str">
        <x:v>Monev tahap I</x:v>
      </x:c>
      <x:c r="F75" s="12" t="n">
        <x:v>10</x:v>
      </x:c>
      <x:c r="G75" s="12" t="n">
        <x:v>1</x:v>
      </x:c>
      <x:c r="H75" s="54" t="n">
        <x:v>50000</x:v>
      </x:c>
      <x:c r="I75" s="54" t="str">
        <x:v>orang</x:v>
      </x:c>
      <x:c r="J75" s="54" t="n">
        <x:f>F75*G75*H75</x:f>
        <x:v>500000</x:v>
      </x:c>
      <x:c r="K75" s="54" t="n">
        <x:f>J75-L75</x:f>
        <x:v>500000</x:v>
      </x:c>
      <x:c r="L75" s="54" t="n">
        <x:v>0</x:v>
      </x:c>
      <x:c r="M75" s="12" t="str">
        <x:v>SBM/internal</x:v>
      </x:c>
    </x:row>
    <x:row r="76" ht="34" customHeight="1">
      <x:c r="A76" s="44"/>
      <x:c r="B76" s="44"/>
      <x:c r="C76" s="44" t="str">
        <x:v>Subtotal</x:v>
      </x:c>
      <x:c r="D76" s="44"/>
      <x:c r="E76" s="44"/>
      <x:c r="F76" s="44"/>
      <x:c r="G76" s="44"/>
      <x:c r="H76" s="55"/>
      <x:c r="I76" s="55"/>
      <x:c r="J76" s="55" t="n">
        <x:f>SUM(J72:J75)</x:f>
        <x:v>6250000</x:v>
      </x:c>
      <x:c r="K76" s="55" t="n">
        <x:f>SUM(K72:K75)</x:f>
        <x:v>6250000</x:v>
      </x:c>
      <x:c r="L76" s="55" t="n">
        <x:f>SUM(L72:L75)</x:f>
        <x:v>0</x:v>
      </x:c>
      <x:c r="M76" s="44"/>
    </x:row>
    <x:row r="77" ht="34" customHeight="1">
      <x:c r="A77" s="43"/>
      <x:c r="B77" s="43" t="str">
        <x:v>B.</x:v>
      </x:c>
      <x:c r="C77" s="43" t="str">
        <x:v>Evaluasi Internal Akhir Periode</x:v>
      </x:c>
      <x:c r="D77" s="43" t="str">
        <x:v>Evaluasi TKT, luaran dan kesiapan periode berikutnya/akhir.</x:v>
      </x:c>
      <x:c r="E77" s="43"/>
      <x:c r="F77" s="43"/>
      <x:c r="G77" s="43"/>
      <x:c r="H77" s="53"/>
      <x:c r="I77" s="53"/>
      <x:c r="J77" s="53"/>
      <x:c r="K77" s="53"/>
      <x:c r="L77" s="53"/>
      <x:c r="M77" s="43"/>
    </x:row>
    <x:row r="78" ht="34" customHeight="1">
      <x:c r="A78" s="12"/>
      <x:c r="B78" s="12"/>
      <x:c r="C78" s="12" t="n">
        <x:v>1</x:v>
      </x:c>
      <x:c r="D78" s="12" t="str">
        <x:v>Honor reviewer internal</x:v>
      </x:c>
      <x:c r="E78" s="12" t="str">
        <x:v>Evaluasi akhir periode</x:v>
      </x:c>
      <x:c r="F78" s="12" t="n">
        <x:v>2</x:v>
      </x:c>
      <x:c r="G78" s="12" t="n">
        <x:v>2</x:v>
      </x:c>
      <x:c r="H78" s="54" t="n">
        <x:v>1000000</x:v>
      </x:c>
      <x:c r="I78" s="54" t="str">
        <x:v>OJ</x:v>
      </x:c>
      <x:c r="J78" s="54" t="n">
        <x:f>F78*G78*H78</x:f>
        <x:v>4000000</x:v>
      </x:c>
      <x:c r="K78" s="54" t="n">
        <x:f>J78-L78</x:f>
        <x:v>4000000</x:v>
      </x:c>
      <x:c r="L78" s="54" t="n">
        <x:v>0</x:v>
      </x:c>
      <x:c r="M78" s="12" t="str">
        <x:v>SBM/internal</x:v>
      </x:c>
    </x:row>
    <x:row r="79" ht="34" customHeight="1">
      <x:c r="A79" s="12"/>
      <x:c r="B79" s="12"/>
      <x:c r="C79" s="12" t="n">
        <x:v>2</x:v>
      </x:c>
      <x:c r="D79" s="12" t="str">
        <x:v>Transportasi reviewer</x:v>
      </x:c>
      <x:c r="E79" s="12" t="str">
        <x:v>Evaluasi akhir periode</x:v>
      </x:c>
      <x:c r="F79" s="12" t="n">
        <x:v>2</x:v>
      </x:c>
      <x:c r="G79" s="12" t="n">
        <x:v>1</x:v>
      </x:c>
      <x:c r="H79" s="54" t="n">
        <x:v>500000</x:v>
      </x:c>
      <x:c r="I79" s="54" t="str">
        <x:v>perjalanan</x:v>
      </x:c>
      <x:c r="J79" s="54" t="n">
        <x:f>F79*G79*H79</x:f>
        <x:v>1000000</x:v>
      </x:c>
      <x:c r="K79" s="54" t="n">
        <x:f>J79-L79</x:f>
        <x:v>1000000</x:v>
      </x:c>
      <x:c r="L79" s="54" t="n">
        <x:v>0</x:v>
      </x:c>
      <x:c r="M79" s="12" t="str">
        <x:v>SBM</x:v>
      </x:c>
    </x:row>
    <x:row r="80" ht="34" customHeight="1">
      <x:c r="A80" s="12"/>
      <x:c r="B80" s="12"/>
      <x:c r="C80" s="12" t="n">
        <x:v>3</x:v>
      </x:c>
      <x:c r="D80" s="12" t="str">
        <x:v>Akomodasi reviewer</x:v>
      </x:c>
      <x:c r="E80" s="12" t="str">
        <x:v>Evaluasi akhir periode</x:v>
      </x:c>
      <x:c r="F80" s="12" t="n">
        <x:v>1</x:v>
      </x:c>
      <x:c r="G80" s="12" t="n">
        <x:v>1</x:v>
      </x:c>
      <x:c r="H80" s="54" t="n">
        <x:v>750000</x:v>
      </x:c>
      <x:c r="I80" s="54" t="str">
        <x:v>malam</x:v>
      </x:c>
      <x:c r="J80" s="54" t="n">
        <x:f>F80*G80*H80</x:f>
        <x:v>750000</x:v>
      </x:c>
      <x:c r="K80" s="54" t="n">
        <x:f>J80-L80</x:f>
        <x:v>750000</x:v>
      </x:c>
      <x:c r="L80" s="54" t="n">
        <x:v>0</x:v>
      </x:c>
      <x:c r="M80" s="12" t="str">
        <x:v>SBM</x:v>
      </x:c>
    </x:row>
    <x:row r="81" ht="34" customHeight="1">
      <x:c r="A81" s="12"/>
      <x:c r="B81" s="12"/>
      <x:c r="C81" s="12" t="n">
        <x:v>4</x:v>
      </x:c>
      <x:c r="D81" s="12" t="str">
        <x:v>Konsumsi rapat evaluasi</x:v>
      </x:c>
      <x:c r="E81" s="12" t="str">
        <x:v>Evaluasi akhir periode</x:v>
      </x:c>
      <x:c r="F81" s="12" t="n">
        <x:v>10</x:v>
      </x:c>
      <x:c r="G81" s="12" t="n">
        <x:v>1</x:v>
      </x:c>
      <x:c r="H81" s="54" t="n">
        <x:v>50000</x:v>
      </x:c>
      <x:c r="I81" s="54" t="str">
        <x:v>orang</x:v>
      </x:c>
      <x:c r="J81" s="54" t="n">
        <x:f>F81*G81*H81</x:f>
        <x:v>500000</x:v>
      </x:c>
      <x:c r="K81" s="54" t="n">
        <x:f>J81-L81</x:f>
        <x:v>500000</x:v>
      </x:c>
      <x:c r="L81" s="54" t="n">
        <x:v>0</x:v>
      </x:c>
      <x:c r="M81" s="12" t="str">
        <x:v>SBM/internal</x:v>
      </x:c>
    </x:row>
    <x:row r="82" ht="34" customHeight="1">
      <x:c r="A82" s="44"/>
      <x:c r="B82" s="44"/>
      <x:c r="C82" s="44" t="str">
        <x:v>Subtotal</x:v>
      </x:c>
      <x:c r="D82" s="44"/>
      <x:c r="E82" s="44"/>
      <x:c r="F82" s="44"/>
      <x:c r="G82" s="44"/>
      <x:c r="H82" s="55"/>
      <x:c r="I82" s="55"/>
      <x:c r="J82" s="55" t="n">
        <x:f>SUM(J78:J81)</x:f>
        <x:v>6250000</x:v>
      </x:c>
      <x:c r="K82" s="55" t="n">
        <x:f>SUM(K78:K81)</x:f>
        <x:v>6250000</x:v>
      </x:c>
      <x:c r="L82" s="55" t="n">
        <x:f>SUM(L78:L81)</x:f>
        <x:v>0</x:v>
      </x:c>
      <x:c r="M82" s="44"/>
    </x:row>
    <x:row r="83" ht="34" customHeight="1">
      <x:c r="A83" s="45" t="str">
        <x:v>TOTAL II (BTL)</x:v>
      </x:c>
      <x:c r="B83" s="45"/>
      <x:c r="C83" s="45"/>
      <x:c r="D83" s="45"/>
      <x:c r="E83" s="45"/>
      <x:c r="F83" s="45"/>
      <x:c r="G83" s="45"/>
      <x:c r="H83" s="56"/>
      <x:c r="I83" s="56"/>
      <x:c r="J83" s="56" t="n">
        <x:f>J76+J82</x:f>
        <x:v>12500000</x:v>
      </x:c>
      <x:c r="K83" s="56" t="n">
        <x:f>K76+K82</x:f>
        <x:v>12500000</x:v>
      </x:c>
      <x:c r="L83" s="56" t="n">
        <x:f>L76+L82</x:f>
        <x:v>0</x:v>
      </x:c>
      <x:c r="M83" s="45"/>
    </x:row>
    <x:row r="84" ht="34" customHeight="1">
      <x:c r="A84" s="45" t="str">
        <x:v>TOTAL BIAYA (I + II)</x:v>
      </x:c>
      <x:c r="B84" s="45"/>
      <x:c r="C84" s="45"/>
      <x:c r="D84" s="45"/>
      <x:c r="E84" s="45"/>
      <x:c r="F84" s="45"/>
      <x:c r="G84" s="45"/>
      <x:c r="H84" s="56"/>
      <x:c r="I84" s="56"/>
      <x:c r="J84" s="56" t="n">
        <x:f>J68+J83</x:f>
        <x:v>250000000</x:v>
      </x:c>
      <x:c r="K84" s="56" t="n">
        <x:f>K68+K83</x:f>
        <x:v>250000000</x:v>
      </x:c>
      <x:c r="L84" s="56" t="n">
        <x:f>L68+L83</x:f>
        <x:v>0</x:v>
      </x:c>
      <x:c r="M84" s="45"/>
    </x:row>
  </x:sheetData>
  <x:mergeCells>
    <x:mergeCell ref="A1:J1"/>
    <x:mergeCell ref="K1:M1"/>
    <x:mergeCell ref="A3:C3"/>
    <x:mergeCell ref="E3:M3"/>
    <x:mergeCell ref="A4:C4"/>
    <x:mergeCell ref="E4:M4"/>
    <x:mergeCell ref="A5:C5"/>
    <x:mergeCell ref="E5:M5"/>
    <x:mergeCell ref="A6:C6"/>
    <x:mergeCell ref="E6:M6"/>
    <x:mergeCell ref="A7:C7"/>
    <x:mergeCell ref="E7:M7"/>
    <x:mergeCell ref="A8:C8"/>
    <x:mergeCell ref="E8:M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15" hidden="0" customWidth="1"/>
    <x:col min="4" max="4" width="47" hidden="0" customWidth="1"/>
    <x:col min="5" max="5" width="47" hidden="0" customWidth="1"/>
    <x:col min="6" max="6" width="10" hidden="0" customWidth="1"/>
    <x:col min="7" max="7" width="11" hidden="0" customWidth="1"/>
    <x:col min="8" max="8" width="17" hidden="0" customWidth="1"/>
    <x:col min="9" max="9" width="16" hidden="0" customWidth="1"/>
    <x:col min="10" max="10" width="19" hidden="0" customWidth="1"/>
    <x:col min="11" max="11" width="19" hidden="0" customWidth="1"/>
    <x:col min="12" max="12" width="17" hidden="0" customWidth="1"/>
    <x:col min="13" max="13" width="50" hidden="0" customWidth="1"/>
  </x:cols>
  <x:sheetData>
    <x:row r="1" ht="30" customHeight="1">
      <x:c r="A1" s="40" t="str">
        <x:v>RINCIAN USULAN RAB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 t="str">
        <x:v>TAHUN II</x:v>
      </x:c>
      <x:c r="L1" s="40"/>
      <x:c r="M1" s="40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 s="41" t="str">
        <x:v>Judul Riset</x:v>
      </x:c>
      <x:c r="B3" s="41"/>
      <x:c r="C3" s="41"/>
      <x:c r="D3" s="12" t="str">
        <x:v>:</x:v>
      </x:c>
      <x:c r="E3" s="12" t="str">
        <x:v>Pengembangan Smart Charging Hub Solar Hybrid PV–BESS–Grid Berbasis AI dan IoT-Edge dengan EMS Adaptif, Mode Islanding, dan Layanan Digital</x:v>
      </x:c>
      <x:c r="F3" s="12"/>
      <x:c r="G3" s="12"/>
      <x:c r="H3" s="12"/>
      <x:c r="I3" s="12"/>
      <x:c r="J3" s="12"/>
      <x:c r="K3" s="12"/>
      <x:c r="L3" s="12"/>
      <x:c r="M3" s="12"/>
    </x:row>
    <x:row r="4">
      <x:c r="A4" s="41" t="str">
        <x:v>Fokus/Skema</x:v>
      </x:c>
      <x:c r="B4" s="41"/>
      <x:c r="C4" s="41"/>
      <x:c r="D4" s="12" t="str">
        <x:v>:</x:v>
      </x:c>
      <x:c r="E4" s="12" t="str">
        <x:v>RIIM Kompetisi 2026 / Kedaulatan Energi</x:v>
      </x:c>
      <x:c r="F4" s="12"/>
      <x:c r="G4" s="12"/>
      <x:c r="H4" s="12"/>
      <x:c r="I4" s="12"/>
      <x:c r="J4" s="12"/>
      <x:c r="K4" s="12"/>
      <x:c r="L4" s="12"/>
      <x:c r="M4" s="12"/>
    </x:row>
    <x:row r="5">
      <x:c r="A5" s="41" t="str">
        <x:v>Ketua Periset</x:v>
      </x:c>
      <x:c r="B5" s="41"/>
      <x:c r="C5" s="41"/>
      <x:c r="D5" s="12" t="str">
        <x:v>:</x:v>
      </x:c>
      <x:c r="E5" s="12" t="str">
        <x:v>Prof. Dr. Subiyanto, S.T., M.T.</x:v>
      </x:c>
      <x:c r="F5" s="12"/>
      <x:c r="G5" s="12"/>
      <x:c r="H5" s="12"/>
      <x:c r="I5" s="12"/>
      <x:c r="J5" s="12"/>
      <x:c r="K5" s="12"/>
      <x:c r="L5" s="12"/>
      <x:c r="M5" s="12"/>
    </x:row>
    <x:row r="6">
      <x:c r="A6" s="41" t="str">
        <x:v>Institusi</x:v>
      </x:c>
      <x:c r="B6" s="41"/>
      <x:c r="C6" s="41"/>
      <x:c r="D6" s="12" t="str">
        <x:v>:</x:v>
      </x:c>
      <x:c r="E6" s="12" t="str">
        <x:v>Universitas Negeri Semarang</x:v>
      </x:c>
      <x:c r="F6" s="12"/>
      <x:c r="G6" s="12"/>
      <x:c r="H6" s="12"/>
      <x:c r="I6" s="12"/>
      <x:c r="J6" s="12"/>
      <x:c r="K6" s="12"/>
      <x:c r="L6" s="12"/>
      <x:c r="M6" s="12"/>
    </x:row>
    <x:row r="7">
      <x:c r="A7" s="41" t="str">
        <x:v>Mitra</x:v>
      </x:c>
      <x:c r="B7" s="41"/>
      <x:c r="C7" s="41"/>
      <x:c r="D7" s="12" t="str">
        <x:v>:</x:v>
      </x:c>
      <x:c r="E7" s="12" t="str">
        <x:v>PT. Arunika Sains Teknologi</x:v>
      </x:c>
      <x:c r="F7" s="12"/>
      <x:c r="G7" s="12"/>
      <x:c r="H7" s="12"/>
      <x:c r="I7" s="12"/>
      <x:c r="J7" s="12"/>
      <x:c r="K7" s="12"/>
      <x:c r="L7" s="12"/>
      <x:c r="M7" s="12"/>
    </x:row>
    <x:row r="8">
      <x:c r="A8" s="41" t="str">
        <x:v>Durasi</x:v>
      </x:c>
      <x:c r="B8" s="41"/>
      <x:c r="C8" s="41"/>
      <x:c r="D8" s="12" t="str">
        <x:v>:</x:v>
      </x:c>
      <x:c r="E8" s="12" t="str">
        <x:v>2 tahun; setiap periode 12 bulan</x:v>
      </x:c>
      <x:c r="F8" s="12"/>
      <x:c r="G8" s="12"/>
      <x:c r="H8" s="12"/>
      <x:c r="I8" s="12"/>
      <x:c r="J8" s="12"/>
      <x:c r="K8" s="12"/>
      <x:c r="L8" s="12"/>
      <x:c r="M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  <x:row r="10" ht="50" customHeight="1">
      <x:c r="A10" s="18" t="str">
        <x:v>No.</x:v>
      </x:c>
      <x:c r="B10" s="18" t="str"/>
      <x:c r="C10" s="18" t="str"/>
      <x:c r="D10" s="18" t="str">
        <x:v>Komponen Biaya / Aktivitas</x:v>
      </x:c>
      <x:c r="E10" s="18" t="str">
        <x:v>Justifikasi / Indikator Kinerja</x:v>
      </x:c>
      <x:c r="F10" s="18" t="str">
        <x:v>Volume</x:v>
      </x:c>
      <x:c r="G10" s="18" t="str">
        <x:v>Frekuensi</x:v>
      </x:c>
      <x:c r="H10" s="18" t="str">
        <x:v>Harga Satuan (Rp)</x:v>
      </x:c>
      <x:c r="I10" s="18" t="str">
        <x:v>Satuan</x:v>
      </x:c>
      <x:c r="J10" s="18" t="str">
        <x:v>Jumlah</x:v>
      </x:c>
      <x:c r="K10" s="18" t="str">
        <x:v>LPDP</x:v>
      </x:c>
      <x:c r="L10" s="18" t="str">
        <x:v>Mitra</x:v>
      </x:c>
      <x:c r="M10" s="18" t="str">
        <x:v>HPS / Sumber</x:v>
      </x:c>
    </x:row>
    <x:row r="11" ht="34" customHeight="1">
      <x:c r="A11" s="42" t="str">
        <x:v>I.</x:v>
      </x:c>
      <x:c r="B11" s="42" t="str">
        <x:v>BIAYA LANGSUNG</x:v>
      </x:c>
      <x:c r="C11" s="42"/>
      <x:c r="D11" s="42"/>
      <x:c r="E11" s="42"/>
      <x:c r="F11" s="42"/>
      <x:c r="G11" s="42"/>
      <x:c r="H11" s="52"/>
      <x:c r="I11" s="52"/>
      <x:c r="J11" s="52"/>
      <x:c r="K11" s="52"/>
      <x:c r="L11" s="52"/>
      <x:c r="M11" s="42"/>
    </x:row>
    <x:row r="12" ht="34" customHeight="1">
      <x:c r="A12" s="43"/>
      <x:c r="B12" s="43" t="str">
        <x:v>A.</x:v>
      </x:c>
      <x:c r="C12" s="43" t="str">
        <x:v>BIAYA LANGSUNG PERSONIL</x:v>
      </x:c>
      <x:c r="D12" s="43"/>
      <x:c r="E12" s="43"/>
      <x:c r="F12" s="43"/>
      <x:c r="G12" s="43"/>
      <x:c r="H12" s="53"/>
      <x:c r="I12" s="53"/>
      <x:c r="J12" s="53"/>
      <x:c r="K12" s="53"/>
      <x:c r="L12" s="53"/>
      <x:c r="M12" s="43"/>
    </x:row>
    <x:row r="13" ht="34" customHeight="1">
      <x:c r="A13" s="12"/>
      <x:c r="B13" s="12"/>
      <x:c r="C13" s="12" t="n">
        <x:v>1</x:v>
      </x:c>
      <x:c r="D13" s="12" t="str">
        <x:v>Prof. Dr. Subiyanto, S.T., M.T.</x:v>
      </x:c>
      <x:c r="E13" s="12" t="str">
        <x:v>Ketua periset; fase intensif 4 bulan</x:v>
      </x:c>
      <x:c r="F13" s="12" t="n">
        <x:v>1</x:v>
      </x:c>
      <x:c r="G13" s="12" t="n">
        <x:v>4</x:v>
      </x:c>
      <x:c r="H13" s="54" t="n">
        <x:v>3600000</x:v>
      </x:c>
      <x:c r="I13" s="54" t="str">
        <x:v>OB</x:v>
      </x:c>
      <x:c r="J13" s="54" t="n">
        <x:f>F13*G13*H13</x:f>
        <x:v>14400000</x:v>
      </x:c>
      <x:c r="K13" s="54" t="n">
        <x:f>J13-L13</x:f>
        <x:v>14400000</x:v>
      </x:c>
      <x:c r="L13" s="54" t="n">
        <x:v>0</x:v>
      </x:c>
      <x:c r="M13" s="12" t="str">
        <x:v>Satuan biaya RIIM Kompetisi 2026</x:v>
      </x:c>
    </x:row>
    <x:row r="14" ht="34" customHeight="1">
      <x:c r="A14" s="12"/>
      <x:c r="B14" s="12"/>
      <x:c r="C14" s="12" t="n">
        <x:v>2</x:v>
      </x:c>
      <x:c r="D14" s="12" t="str">
        <x:v>Bagaskoro Saputro, S.Si., M.Cs.</x:v>
      </x:c>
      <x:c r="E14" s="12" t="str">
        <x:v>Anggota; IoT-edge/CSMS/CMS/cybersecurity; 4 bulan</x:v>
      </x:c>
      <x:c r="F14" s="12" t="n">
        <x:v>1</x:v>
      </x:c>
      <x:c r="G14" s="12" t="n">
        <x:v>4</x:v>
      </x:c>
      <x:c r="H14" s="54" t="n">
        <x:v>2400000</x:v>
      </x:c>
      <x:c r="I14" s="54" t="str">
        <x:v>OB</x:v>
      </x:c>
      <x:c r="J14" s="54" t="n">
        <x:f>F14*G14*H14</x:f>
        <x:v>9600000</x:v>
      </x:c>
      <x:c r="K14" s="54" t="n">
        <x:f>J14-L14</x:f>
        <x:v>9600000</x:v>
      </x:c>
      <x:c r="L14" s="54" t="n">
        <x:v>0</x:v>
      </x:c>
      <x:c r="M14" s="12" t="str">
        <x:v>Satuan biaya RIIM Kompetisi 2026</x:v>
      </x:c>
    </x:row>
    <x:row r="15" ht="34" customHeight="1">
      <x:c r="A15" s="12"/>
      <x:c r="B15" s="12"/>
      <x:c r="C15" s="12" t="n">
        <x:v>3</x:v>
      </x:c>
      <x:c r="D15" s="12" t="str">
        <x:v>Mario Norman Syah, S.Pd., M.Eng.</x:v>
      </x:c>
      <x:c r="E15" s="12" t="str">
        <x:v>Anggota; PV–BESS dan EMS; 4 bulan</x:v>
      </x:c>
      <x:c r="F15" s="12" t="n">
        <x:v>1</x:v>
      </x:c>
      <x:c r="G15" s="12" t="n">
        <x:v>4</x:v>
      </x:c>
      <x:c r="H15" s="54" t="n">
        <x:v>2400000</x:v>
      </x:c>
      <x:c r="I15" s="54" t="str">
        <x:v>OB</x:v>
      </x:c>
      <x:c r="J15" s="54" t="n">
        <x:f>F15*G15*H15</x:f>
        <x:v>9600000</x:v>
      </x:c>
      <x:c r="K15" s="54" t="n">
        <x:f>J15-L15</x:f>
        <x:v>9600000</x:v>
      </x:c>
      <x:c r="L15" s="54" t="n">
        <x:v>0</x:v>
      </x:c>
      <x:c r="M15" s="12" t="str">
        <x:v>Satuan biaya RIIM Kompetisi 2026</x:v>
      </x:c>
    </x:row>
    <x:row r="16" ht="34" customHeight="1">
      <x:c r="A16" s="12"/>
      <x:c r="B16" s="12"/>
      <x:c r="C16" s="12" t="n">
        <x:v>4</x:v>
      </x:c>
      <x:c r="D16" s="12" t="str">
        <x:v>Adhe Lingga Dewi, S.Si., M.Si.</x:v>
      </x:c>
      <x:c r="E16" s="12" t="str">
        <x:v>Anggota; sensor, AI/ML dan data quality; 4 bulan</x:v>
      </x:c>
      <x:c r="F16" s="12" t="n">
        <x:v>1</x:v>
      </x:c>
      <x:c r="G16" s="12" t="n">
        <x:v>4</x:v>
      </x:c>
      <x:c r="H16" s="54" t="n">
        <x:v>2400000</x:v>
      </x:c>
      <x:c r="I16" s="54" t="str">
        <x:v>OB</x:v>
      </x:c>
      <x:c r="J16" s="54" t="n">
        <x:f>F16*G16*H16</x:f>
        <x:v>9600000</x:v>
      </x:c>
      <x:c r="K16" s="54" t="n">
        <x:f>J16-L16</x:f>
        <x:v>9600000</x:v>
      </x:c>
      <x:c r="L16" s="54" t="n">
        <x:v>0</x:v>
      </x:c>
      <x:c r="M16" s="12" t="str">
        <x:v>Satuan biaya RIIM Kompetisi 2026</x:v>
      </x:c>
    </x:row>
    <x:row r="17" ht="34" customHeight="1">
      <x:c r="A17" s="12"/>
      <x:c r="B17" s="12"/>
      <x:c r="C17" s="12" t="n">
        <x:v>5</x:v>
      </x:c>
      <x:c r="D17" s="12" t="str">
        <x:v>Ir. Turnad Lenggo Ginta, S.T., M.T., Ph.D.</x:v>
      </x:c>
      <x:c r="E17" s="12" t="str">
        <x:v>Anggota; kebijakan, dampak dan hilirisasi; 4 bulan</x:v>
      </x:c>
      <x:c r="F17" s="12" t="n">
        <x:v>1</x:v>
      </x:c>
      <x:c r="G17" s="12" t="n">
        <x:v>4</x:v>
      </x:c>
      <x:c r="H17" s="54" t="n">
        <x:v>2400000</x:v>
      </x:c>
      <x:c r="I17" s="54" t="str">
        <x:v>OB</x:v>
      </x:c>
      <x:c r="J17" s="54" t="n">
        <x:f>F17*G17*H17</x:f>
        <x:v>9600000</x:v>
      </x:c>
      <x:c r="K17" s="54" t="n">
        <x:f>J17-L17</x:f>
        <x:v>9600000</x:v>
      </x:c>
      <x:c r="L17" s="54" t="n">
        <x:v>0</x:v>
      </x:c>
      <x:c r="M17" s="12" t="str">
        <x:v>Satuan biaya RIIM Kompetisi 2026</x:v>
      </x:c>
    </x:row>
    <x:row r="18" ht="34" customHeight="1">
      <x:c r="A18" s="44"/>
      <x:c r="B18" s="44" t="str">
        <x:v>Total BLP</x:v>
      </x:c>
      <x:c r="C18" s="44"/>
      <x:c r="D18" s="44"/>
      <x:c r="E18" s="44"/>
      <x:c r="F18" s="44"/>
      <x:c r="G18" s="44"/>
      <x:c r="H18" s="55"/>
      <x:c r="I18" s="55"/>
      <x:c r="J18" s="55" t="n">
        <x:f>SUM(J13:J17)</x:f>
        <x:v>52800000</x:v>
      </x:c>
      <x:c r="K18" s="55" t="n">
        <x:f>SUM(K13:K17)</x:f>
        <x:v>52800000</x:v>
      </x:c>
      <x:c r="L18" s="55" t="n">
        <x:f>SUM(L13:L17)</x:f>
        <x:v>0</x:v>
      </x:c>
      <x:c r="M18" s="44"/>
    </x:row>
    <x:row r="19" ht="34" customHeight="1">
      <x:c r="A19" s="43"/>
      <x:c r="B19" s="43" t="str">
        <x:v>B.</x:v>
      </x:c>
      <x:c r="C19" s="43" t="str">
        <x:v>BIAYA LANGSUNG NONPERSONIL</x:v>
      </x:c>
      <x:c r="D19" s="43"/>
      <x:c r="E19" s="43"/>
      <x:c r="F19" s="43"/>
      <x:c r="G19" s="43"/>
      <x:c r="H19" s="53"/>
      <x:c r="I19" s="53"/>
      <x:c r="J19" s="53"/>
      <x:c r="K19" s="53"/>
      <x:c r="L19" s="53"/>
      <x:c r="M19" s="43"/>
    </x:row>
    <x:row r="20" ht="34" customHeight="1">
      <x:c r="A20" s="42"/>
      <x:c r="B20" s="42" t="str">
        <x:v>B.1</x:v>
      </x:c>
      <x:c r="C20" s="42" t="str">
        <x:v>Indikator 1</x:v>
      </x:c>
      <x:c r="D20" s="42" t="str">
        <x:v>Integrasi BESS dan smart charging hub TKT 6</x:v>
      </x:c>
      <x:c r="E20" s="42" t="str">
        <x:v>Mobilisasi sistem energi, pembelian instrumentasi dan komponen integrasi lapangan.</x:v>
      </x:c>
      <x:c r="F20" s="42"/>
      <x:c r="G20" s="42"/>
      <x:c r="H20" s="52"/>
      <x:c r="I20" s="52"/>
      <x:c r="J20" s="52"/>
      <x:c r="K20" s="52"/>
      <x:c r="L20" s="52"/>
      <x:c r="M20" s="42"/>
    </x:row>
    <x:row r="21" ht="34" customHeight="1">
      <x:c r="A21" s="43"/>
      <x:c r="B21" s="43" t="str">
        <x:v>B.1.1</x:v>
      </x:c>
      <x:c r="C21" s="43" t="str">
        <x:v>Sewa/Fasilitas Sistem Energi</x:v>
      </x:c>
      <x:c r="D21" s="43"/>
      <x:c r="E21" s="43"/>
      <x:c r="F21" s="43"/>
      <x:c r="G21" s="43"/>
      <x:c r="H21" s="53"/>
      <x:c r="I21" s="53"/>
      <x:c r="J21" s="53"/>
      <x:c r="K21" s="53"/>
      <x:c r="L21" s="53"/>
      <x:c r="M21" s="43"/>
    </x:row>
    <x:row r="22" ht="34" customHeight="1">
      <x:c r="A22" s="12"/>
      <x:c r="B22" s="12"/>
      <x:c r="C22" s="12" t="n">
        <x:v>1</x:v>
      </x:c>
      <x:c r="D22" s="12" t="str">
        <x:v>Sewa BESS LiFePO4 20,48 kWh dan hybrid inverter</x:v>
      </x:c>
      <x:c r="E22" s="12" t="str">
        <x:v>Uji SOC/SOH, peak shaving, resilience reserve dan islanding</x:v>
      </x:c>
      <x:c r="F22" s="12" t="n">
        <x:v>1</x:v>
      </x:c>
      <x:c r="G22" s="12" t="n">
        <x:v>1</x:v>
      </x:c>
      <x:c r="H22" s="54" t="n">
        <x:v>45000000</x:v>
      </x:c>
      <x:c r="I22" s="54" t="str">
        <x:v>paket</x:v>
      </x:c>
      <x:c r="J22" s="54" t="n">
        <x:f>F22*G22*H22</x:f>
        <x:v>45000000</x:v>
      </x:c>
      <x:c r="K22" s="54" t="n">
        <x:f>J22-L22</x:f>
        <x:v>45000000</x:v>
      </x:c>
      <x:c r="L22" s="54" t="n">
        <x:v>0</x:v>
      </x:c>
      <x:c r="M22" s="12" t="str">
        <x:v>Quotation penyedia/mitra</x:v>
      </x:c>
    </x:row>
    <x:row r="23" ht="34" customHeight="1">
      <x:c r="A23" s="12"/>
      <x:c r="B23" s="12"/>
      <x:c r="C23" s="12" t="n">
        <x:v>2</x:v>
      </x:c>
      <x:c r="D23" s="12" t="str">
        <x:v>Sewa BOS dan mounting modular</x:v>
      </x:c>
      <x:c r="E23" s="12" t="str">
        <x:v>Combiner, struktur modular dan perangkat penunjang nonpermanen</x:v>
      </x:c>
      <x:c r="F23" s="12" t="n">
        <x:v>1</x:v>
      </x:c>
      <x:c r="G23" s="12" t="n">
        <x:v>1</x:v>
      </x:c>
      <x:c r="H23" s="54" t="n">
        <x:v>15000000</x:v>
      </x:c>
      <x:c r="I23" s="54" t="str">
        <x:v>paket</x:v>
      </x:c>
      <x:c r="J23" s="54" t="n">
        <x:f>F23*G23*H23</x:f>
        <x:v>15000000</x:v>
      </x:c>
      <x:c r="K23" s="54" t="n">
        <x:f>J23-L23</x:f>
        <x:v>15000000</x:v>
      </x:c>
      <x:c r="L23" s="54" t="n">
        <x:v>0</x:v>
      </x:c>
      <x:c r="M23" s="12" t="str">
        <x:v>Quotation vendor/mitra</x:v>
      </x:c>
    </x:row>
    <x:row r="24" ht="34" customHeight="1">
      <x:c r="A24" s="44"/>
      <x:c r="B24" s="44"/>
      <x:c r="C24" s="44" t="str">
        <x:v>Subtotal</x:v>
      </x:c>
      <x:c r="D24" s="44"/>
      <x:c r="E24" s="44"/>
      <x:c r="F24" s="44"/>
      <x:c r="G24" s="44"/>
      <x:c r="H24" s="55"/>
      <x:c r="I24" s="55"/>
      <x:c r="J24" s="55" t="n">
        <x:f>SUM(J22:J23)</x:f>
        <x:v>60000000</x:v>
      </x:c>
      <x:c r="K24" s="55" t="n">
        <x:f>SUM(K22:K23)</x:f>
        <x:v>60000000</x:v>
      </x:c>
      <x:c r="L24" s="55" t="n">
        <x:f>SUM(L22:L23)</x:f>
        <x:v>0</x:v>
      </x:c>
      <x:c r="M24" s="44"/>
    </x:row>
    <x:row r="25" ht="34" customHeight="1">
      <x:c r="A25" s="43"/>
      <x:c r="B25" s="43" t="str">
        <x:v>B.1.2</x:v>
      </x:c>
      <x:c r="C25" s="43" t="str">
        <x:v>Belanja Modal Instrumentasi dan Proteksi</x:v>
      </x:c>
      <x:c r="D25" s="43"/>
      <x:c r="E25" s="43"/>
      <x:c r="F25" s="43"/>
      <x:c r="G25" s="43"/>
      <x:c r="H25" s="53"/>
      <x:c r="I25" s="53"/>
      <x:c r="J25" s="53"/>
      <x:c r="K25" s="53"/>
      <x:c r="L25" s="53"/>
      <x:c r="M25" s="43"/>
    </x:row>
    <x:row r="26" ht="34" customHeight="1">
      <x:c r="A26" s="12"/>
      <x:c r="B26" s="12"/>
      <x:c r="C26" s="12" t="n">
        <x:v>1</x:v>
      </x:c>
      <x:c r="D26" s="12" t="str">
        <x:v>External BMS/energy storage controller</x:v>
      </x:c>
      <x:c r="E26" s="12" t="str">
        <x:v>Monitoring sel, balancing, proteksi termal dan komunikasi CAN/RS485</x:v>
      </x:c>
      <x:c r="F26" s="12" t="n">
        <x:v>1</x:v>
      </x:c>
      <x:c r="G26" s="12" t="n">
        <x:v>1</x:v>
      </x:c>
      <x:c r="H26" s="54" t="n">
        <x:v>3500000</x:v>
      </x:c>
      <x:c r="I26" s="54" t="str">
        <x:v>unit</x:v>
      </x:c>
      <x:c r="J26" s="54" t="n">
        <x:f>F26*G26*H26</x:f>
        <x:v>3500000</x:v>
      </x:c>
      <x:c r="K26" s="54" t="n">
        <x:f>J26-L26</x:f>
        <x:v>3500000</x:v>
      </x:c>
      <x:c r="L26" s="54" t="n">
        <x:v>0</x:v>
      </x:c>
      <x:c r="M26" s="12" t="str">
        <x:v>HPS vendor; aset institusi</x:v>
      </x:c>
    </x:row>
    <x:row r="27" ht="34" customHeight="1">
      <x:c r="A27" s="12"/>
      <x:c r="B27" s="12"/>
      <x:c r="C27" s="12" t="n">
        <x:v>2</x:v>
      </x:c>
      <x:c r="D27" s="12" t="str">
        <x:v>Portable data logger</x:v>
      </x:c>
      <x:c r="E27" s="12" t="str">
        <x:v>Akuisisi sinkron data PV–BESS–Grid–charger</x:v>
      </x:c>
      <x:c r="F27" s="12" t="n">
        <x:v>1</x:v>
      </x:c>
      <x:c r="G27" s="12" t="n">
        <x:v>1</x:v>
      </x:c>
      <x:c r="H27" s="54" t="n">
        <x:v>4000000</x:v>
      </x:c>
      <x:c r="I27" s="54" t="str">
        <x:v>unit</x:v>
      </x:c>
      <x:c r="J27" s="54" t="n">
        <x:f>F27*G27*H27</x:f>
        <x:v>4000000</x:v>
      </x:c>
      <x:c r="K27" s="54" t="n">
        <x:f>J27-L27</x:f>
        <x:v>4000000</x:v>
      </x:c>
      <x:c r="L27" s="54" t="n">
        <x:v>0</x:v>
      </x:c>
      <x:c r="M27" s="12" t="str">
        <x:v>HPS vendor; aset institusi</x:v>
      </x:c>
    </x:row>
    <x:row r="28" ht="34" customHeight="1">
      <x:c r="A28" s="12"/>
      <x:c r="B28" s="12"/>
      <x:c r="C28" s="12" t="n">
        <x:v>3</x:v>
      </x:c>
      <x:c r="D28" s="12" t="str">
        <x:v>Reference energy meter</x:v>
      </x:c>
      <x:c r="E28" s="12" t="str">
        <x:v>Validasi efisiensi dan audit energi lapangan</x:v>
      </x:c>
      <x:c r="F28" s="12" t="n">
        <x:v>1</x:v>
      </x:c>
      <x:c r="G28" s="12" t="n">
        <x:v>1</x:v>
      </x:c>
      <x:c r="H28" s="54" t="n">
        <x:v>5000000</x:v>
      </x:c>
      <x:c r="I28" s="54" t="str">
        <x:v>unit</x:v>
      </x:c>
      <x:c r="J28" s="54" t="n">
        <x:f>F28*G28*H28</x:f>
        <x:v>5000000</x:v>
      </x:c>
      <x:c r="K28" s="54" t="n">
        <x:f>J28-L28</x:f>
        <x:v>5000000</x:v>
      </x:c>
      <x:c r="L28" s="54" t="n">
        <x:v>0</x:v>
      </x:c>
      <x:c r="M28" s="12" t="str">
        <x:v>HPS vendor; aset institusi</x:v>
      </x:c>
    </x:row>
    <x:row r="29" ht="34" customHeight="1">
      <x:c r="A29" s="12"/>
      <x:c r="B29" s="12"/>
      <x:c r="C29" s="12" t="n">
        <x:v>4</x:v>
      </x:c>
      <x:c r="D29" s="12" t="str">
        <x:v>Redundant industrial IoT gateway</x:v>
      </x:c>
      <x:c r="E29" s="12" t="str">
        <x:v>Failover komunikasi dan store-and-forward</x:v>
      </x:c>
      <x:c r="F29" s="12" t="n">
        <x:v>1</x:v>
      </x:c>
      <x:c r="G29" s="12" t="n">
        <x:v>1</x:v>
      </x:c>
      <x:c r="H29" s="54" t="n">
        <x:v>4000000</x:v>
      </x:c>
      <x:c r="I29" s="54" t="str">
        <x:v>unit</x:v>
      </x:c>
      <x:c r="J29" s="54" t="n">
        <x:f>F29*G29*H29</x:f>
        <x:v>4000000</x:v>
      </x:c>
      <x:c r="K29" s="54" t="n">
        <x:f>J29-L29</x:f>
        <x:v>4000000</x:v>
      </x:c>
      <x:c r="L29" s="54" t="n">
        <x:v>0</x:v>
      </x:c>
      <x:c r="M29" s="12" t="str">
        <x:v>HPS vendor; aset institusi</x:v>
      </x:c>
    </x:row>
    <x:row r="30" ht="34" customHeight="1">
      <x:c r="A30" s="12"/>
      <x:c r="B30" s="12"/>
      <x:c r="C30" s="12" t="n">
        <x:v>5</x:v>
      </x:c>
      <x:c r="D30" s="12" t="str">
        <x:v>Insulation monitoring device</x:v>
      </x:c>
      <x:c r="E30" s="12" t="str">
        <x:v>Deteksi penurunan isolasi pada sisi DC BESS</x:v>
      </x:c>
      <x:c r="F30" s="12" t="n">
        <x:v>1</x:v>
      </x:c>
      <x:c r="G30" s="12" t="n">
        <x:v>1</x:v>
      </x:c>
      <x:c r="H30" s="54" t="n">
        <x:v>4500000</x:v>
      </x:c>
      <x:c r="I30" s="54" t="str">
        <x:v>unit</x:v>
      </x:c>
      <x:c r="J30" s="54" t="n">
        <x:f>F30*G30*H30</x:f>
        <x:v>4500000</x:v>
      </x:c>
      <x:c r="K30" s="54" t="n">
        <x:f>J30-L30</x:f>
        <x:v>4500000</x:v>
      </x:c>
      <x:c r="L30" s="54" t="n">
        <x:v>0</x:v>
      </x:c>
      <x:c r="M30" s="12" t="str">
        <x:v>HPS vendor; aset institusi</x:v>
      </x:c>
    </x:row>
    <x:row r="31" ht="34" customHeight="1">
      <x:c r="A31" s="12"/>
      <x:c r="B31" s="12"/>
      <x:c r="C31" s="12" t="n">
        <x:v>6</x:v>
      </x:c>
      <x:c r="D31" s="12" t="str">
        <x:v>Automatic transfer controller</x:v>
      </x:c>
      <x:c r="E31" s="12" t="str">
        <x:v>Kendali perpindahan grid/islanding</x:v>
      </x:c>
      <x:c r="F31" s="12" t="n">
        <x:v>1</x:v>
      </x:c>
      <x:c r="G31" s="12" t="n">
        <x:v>1</x:v>
      </x:c>
      <x:c r="H31" s="54" t="n">
        <x:v>2500000</x:v>
      </x:c>
      <x:c r="I31" s="54" t="str">
        <x:v>unit</x:v>
      </x:c>
      <x:c r="J31" s="54" t="n">
        <x:f>F31*G31*H31</x:f>
        <x:v>2500000</x:v>
      </x:c>
      <x:c r="K31" s="54" t="n">
        <x:f>J31-L31</x:f>
        <x:v>2500000</x:v>
      </x:c>
      <x:c r="L31" s="54" t="n">
        <x:v>0</x:v>
      </x:c>
      <x:c r="M31" s="12" t="str">
        <x:v>HPS vendor; aset institusi</x:v>
      </x:c>
    </x:row>
    <x:row r="32" ht="34" customHeight="1">
      <x:c r="A32" s="12"/>
      <x:c r="B32" s="12"/>
      <x:c r="C32" s="12" t="n">
        <x:v>7</x:v>
      </x:c>
      <x:c r="D32" s="12" t="str">
        <x:v>Grid/islanding protection relay</x:v>
      </x:c>
      <x:c r="E32" s="12" t="str">
        <x:v>Proteksi tegangan/frekuensi dan anti-islanding</x:v>
      </x:c>
      <x:c r="F32" s="12" t="n">
        <x:v>1</x:v>
      </x:c>
      <x:c r="G32" s="12" t="n">
        <x:v>1</x:v>
      </x:c>
      <x:c r="H32" s="54" t="n">
        <x:v>1500000</x:v>
      </x:c>
      <x:c r="I32" s="54" t="str">
        <x:v>unit</x:v>
      </x:c>
      <x:c r="J32" s="54" t="n">
        <x:f>F32*G32*H32</x:f>
        <x:v>1500000</x:v>
      </x:c>
      <x:c r="K32" s="54" t="n">
        <x:f>J32-L32</x:f>
        <x:v>1500000</x:v>
      </x:c>
      <x:c r="L32" s="54" t="n">
        <x:v>0</x:v>
      </x:c>
      <x:c r="M32" s="12" t="str">
        <x:v>HPS vendor; aset institusi</x:v>
      </x:c>
    </x:row>
    <x:row r="33" ht="34" customHeight="1">
      <x:c r="A33" s="44"/>
      <x:c r="B33" s="44"/>
      <x:c r="C33" s="44" t="str">
        <x:v>Subtotal</x:v>
      </x:c>
      <x:c r="D33" s="44"/>
      <x:c r="E33" s="44"/>
      <x:c r="F33" s="44"/>
      <x:c r="G33" s="44"/>
      <x:c r="H33" s="55"/>
      <x:c r="I33" s="55"/>
      <x:c r="J33" s="55" t="n">
        <x:f>SUM(J26:J32)</x:f>
        <x:v>25000000</x:v>
      </x:c>
      <x:c r="K33" s="55" t="n">
        <x:f>SUM(K26:K32)</x:f>
        <x:v>25000000</x:v>
      </x:c>
      <x:c r="L33" s="55" t="n">
        <x:f>SUM(L26:L32)</x:f>
        <x:v>0</x:v>
      </x:c>
      <x:c r="M33" s="44"/>
    </x:row>
    <x:row r="34" ht="34" customHeight="1">
      <x:c r="A34" s="43"/>
      <x:c r="B34" s="43" t="str">
        <x:v>B.1.3</x:v>
      </x:c>
      <x:c r="C34" s="43" t="str">
        <x:v>Bahan dan Komponen Integrasi BESS</x:v>
      </x:c>
      <x:c r="D34" s="43"/>
      <x:c r="E34" s="43"/>
      <x:c r="F34" s="43"/>
      <x:c r="G34" s="43"/>
      <x:c r="H34" s="53"/>
      <x:c r="I34" s="53"/>
      <x:c r="J34" s="53"/>
      <x:c r="K34" s="53"/>
      <x:c r="L34" s="53"/>
      <x:c r="M34" s="43"/>
    </x:row>
    <x:row r="35" ht="34" customHeight="1">
      <x:c r="A35" s="12"/>
      <x:c r="B35" s="12"/>
      <x:c r="C35" s="12" t="n">
        <x:v>1</x:v>
      </x:c>
      <x:c r="D35" s="12" t="str">
        <x:v>DC contactor BESS</x:v>
      </x:c>
      <x:c r="E35" s="12" t="str">
        <x:v>Switching charge/discharge dan isolasi baterai</x:v>
      </x:c>
      <x:c r="F35" s="12" t="n">
        <x:v>4</x:v>
      </x:c>
      <x:c r="G35" s="12" t="n">
        <x:v>1</x:v>
      </x:c>
      <x:c r="H35" s="54" t="n">
        <x:v>800000</x:v>
      </x:c>
      <x:c r="I35" s="54" t="str">
        <x:v>unit</x:v>
      </x:c>
      <x:c r="J35" s="54" t="n">
        <x:f>F35*G35*H35</x:f>
        <x:v>3200000</x:v>
      </x:c>
      <x:c r="K35" s="54" t="n">
        <x:f>J35-L35</x:f>
        <x:v>3200000</x:v>
      </x:c>
      <x:c r="L35" s="54" t="n">
        <x:v>0</x:v>
      </x:c>
      <x:c r="M35" s="12" t="str">
        <x:v>Komponen terintegrasi dalam purwarupa</x:v>
      </x:c>
    </x:row>
    <x:row r="36" ht="34" customHeight="1">
      <x:c r="A36" s="12"/>
      <x:c r="B36" s="12"/>
      <x:c r="C36" s="12" t="n">
        <x:v>2</x:v>
      </x:c>
      <x:c r="D36" s="12" t="str">
        <x:v>Pre-charge circuit</x:v>
      </x:c>
      <x:c r="E36" s="12" t="str">
        <x:v>Pembatas arus inrush DC-link</x:v>
      </x:c>
      <x:c r="F36" s="12" t="n">
        <x:v>4</x:v>
      </x:c>
      <x:c r="G36" s="12" t="n">
        <x:v>1</x:v>
      </x:c>
      <x:c r="H36" s="54" t="n">
        <x:v>500000</x:v>
      </x:c>
      <x:c r="I36" s="54" t="str">
        <x:v>set</x:v>
      </x:c>
      <x:c r="J36" s="54" t="n">
        <x:f>F36*G36*H36</x:f>
        <x:v>2000000</x:v>
      </x:c>
      <x:c r="K36" s="54" t="n">
        <x:f>J36-L36</x:f>
        <x:v>2000000</x:v>
      </x:c>
      <x:c r="L36" s="54" t="n">
        <x:v>0</x:v>
      </x:c>
      <x:c r="M36" s="12" t="str">
        <x:v>Komponen terintegrasi dalam purwarupa</x:v>
      </x:c>
    </x:row>
    <x:row r="37" ht="34" customHeight="1">
      <x:c r="A37" s="12"/>
      <x:c r="B37" s="12"/>
      <x:c r="C37" s="12" t="n">
        <x:v>3</x:v>
      </x:c>
      <x:c r="D37" s="12" t="str">
        <x:v>DC fuse dan fuse holder</x:v>
      </x:c>
      <x:c r="E37" s="12" t="str">
        <x:v>Proteksi arus lebih string/rack baterai</x:v>
      </x:c>
      <x:c r="F37" s="12" t="n">
        <x:v>6</x:v>
      </x:c>
      <x:c r="G37" s="12" t="n">
        <x:v>1</x:v>
      </x:c>
      <x:c r="H37" s="54" t="n">
        <x:v>300000</x:v>
      </x:c>
      <x:c r="I37" s="54" t="str">
        <x:v>set</x:v>
      </x:c>
      <x:c r="J37" s="54" t="n">
        <x:f>F37*G37*H37</x:f>
        <x:v>1800000</x:v>
      </x:c>
      <x:c r="K37" s="54" t="n">
        <x:f>J37-L37</x:f>
        <x:v>1800000</x:v>
      </x:c>
      <x:c r="L37" s="54" t="n">
        <x:v>0</x:v>
      </x:c>
      <x:c r="M37" s="12" t="str">
        <x:v>Komponen terintegrasi dalam purwarupa</x:v>
      </x:c>
    </x:row>
    <x:row r="38" ht="34" customHeight="1">
      <x:c r="A38" s="12"/>
      <x:c r="B38" s="12"/>
      <x:c r="C38" s="12" t="n">
        <x:v>4</x:v>
      </x:c>
      <x:c r="D38" s="12" t="str">
        <x:v>DC breaker</x:v>
      </x:c>
      <x:c r="E38" s="12" t="str">
        <x:v>Isolasi dan proteksi rangkaian BESS</x:v>
      </x:c>
      <x:c r="F38" s="12" t="n">
        <x:v>2</x:v>
      </x:c>
      <x:c r="G38" s="12" t="n">
        <x:v>1</x:v>
      </x:c>
      <x:c r="H38" s="54" t="n">
        <x:v>1200000</x:v>
      </x:c>
      <x:c r="I38" s="54" t="str">
        <x:v>unit</x:v>
      </x:c>
      <x:c r="J38" s="54" t="n">
        <x:f>F38*G38*H38</x:f>
        <x:v>2400000</x:v>
      </x:c>
      <x:c r="K38" s="54" t="n">
        <x:f>J38-L38</x:f>
        <x:v>2400000</x:v>
      </x:c>
      <x:c r="L38" s="54" t="n">
        <x:v>0</x:v>
      </x:c>
      <x:c r="M38" s="12" t="str">
        <x:v>Komponen terintegrasi dalam purwarupa</x:v>
      </x:c>
    </x:row>
    <x:row r="39" ht="34" customHeight="1">
      <x:c r="A39" s="12"/>
      <x:c r="B39" s="12"/>
      <x:c r="C39" s="12" t="n">
        <x:v>5</x:v>
      </x:c>
      <x:c r="D39" s="12" t="str">
        <x:v>Battery cable harness dan connector</x:v>
      </x:c>
      <x:c r="E39" s="12" t="str">
        <x:v>Interkoneksi rack, BMS dan inverter</x:v>
      </x:c>
      <x:c r="F39" s="12" t="n">
        <x:v>1</x:v>
      </x:c>
      <x:c r="G39" s="12" t="n">
        <x:v>1</x:v>
      </x:c>
      <x:c r="H39" s="54" t="n">
        <x:v>4000000</x:v>
      </x:c>
      <x:c r="I39" s="54" t="str">
        <x:v>lot</x:v>
      </x:c>
      <x:c r="J39" s="54" t="n">
        <x:f>F39*G39*H39</x:f>
        <x:v>4000000</x:v>
      </x:c>
      <x:c r="K39" s="54" t="n">
        <x:f>J39-L39</x:f>
        <x:v>4000000</x:v>
      </x:c>
      <x:c r="L39" s="54" t="n">
        <x:v>0</x:v>
      </x:c>
      <x:c r="M39" s="12" t="str">
        <x:v>Bahan prototipe</x:v>
      </x:c>
    </x:row>
    <x:row r="40" ht="34" customHeight="1">
      <x:c r="A40" s="12"/>
      <x:c r="B40" s="12"/>
      <x:c r="C40" s="12" t="n">
        <x:v>6</x:v>
      </x:c>
      <x:c r="D40" s="12" t="str">
        <x:v>Sensor temperatur baterai</x:v>
      </x:c>
      <x:c r="E40" s="12" t="str">
        <x:v>Monitoring multipoint rack dan enclosure</x:v>
      </x:c>
      <x:c r="F40" s="12" t="n">
        <x:v>16</x:v>
      </x:c>
      <x:c r="G40" s="12" t="n">
        <x:v>1</x:v>
      </x:c>
      <x:c r="H40" s="54" t="n">
        <x:v>100000</x:v>
      </x:c>
      <x:c r="I40" s="54" t="str">
        <x:v>unit</x:v>
      </x:c>
      <x:c r="J40" s="54" t="n">
        <x:f>F40*G40*H40</x:f>
        <x:v>1600000</x:v>
      </x:c>
      <x:c r="K40" s="54" t="n">
        <x:f>J40-L40</x:f>
        <x:v>1600000</x:v>
      </x:c>
      <x:c r="L40" s="54" t="n">
        <x:v>0</x:v>
      </x:c>
      <x:c r="M40" s="12" t="str">
        <x:v>Komponen terintegrasi dalam purwarupa</x:v>
      </x:c>
    </x:row>
    <x:row r="41" ht="34" customHeight="1">
      <x:c r="A41" s="12"/>
      <x:c r="B41" s="12"/>
      <x:c r="C41" s="12" t="n">
        <x:v>7</x:v>
      </x:c>
      <x:c r="D41" s="12" t="str">
        <x:v>Emergency shutdown controller</x:v>
      </x:c>
      <x:c r="E41" s="12" t="str">
        <x:v>Pemutusan terkoordinasi BESS dan charger</x:v>
      </x:c>
      <x:c r="F41" s="12" t="n">
        <x:v>4</x:v>
      </x:c>
      <x:c r="G41" s="12" t="n">
        <x:v>1</x:v>
      </x:c>
      <x:c r="H41" s="54" t="n">
        <x:v>400000</x:v>
      </x:c>
      <x:c r="I41" s="54" t="str">
        <x:v>unit</x:v>
      </x:c>
      <x:c r="J41" s="54" t="n">
        <x:f>F41*G41*H41</x:f>
        <x:v>1600000</x:v>
      </x:c>
      <x:c r="K41" s="54" t="n">
        <x:f>J41-L41</x:f>
        <x:v>1600000</x:v>
      </x:c>
      <x:c r="L41" s="54" t="n">
        <x:v>0</x:v>
      </x:c>
      <x:c r="M41" s="12" t="str">
        <x:v>Komponen terintegrasi dalam purwarupa</x:v>
      </x:c>
    </x:row>
    <x:row r="42" ht="34" customHeight="1">
      <x:c r="A42" s="12"/>
      <x:c r="B42" s="12"/>
      <x:c r="C42" s="12" t="n">
        <x:v>8</x:v>
      </x:c>
      <x:c r="D42" s="12" t="str">
        <x:v>Grounding dan SPD components</x:v>
      </x:c>
      <x:c r="E42" s="12" t="str">
        <x:v>Proteksi petir/surge dan bonding</x:v>
      </x:c>
      <x:c r="F42" s="12" t="n">
        <x:v>1</x:v>
      </x:c>
      <x:c r="G42" s="12" t="n">
        <x:v>1</x:v>
      </x:c>
      <x:c r="H42" s="54" t="n">
        <x:v>5000000</x:v>
      </x:c>
      <x:c r="I42" s="54" t="str">
        <x:v>paket</x:v>
      </x:c>
      <x:c r="J42" s="54" t="n">
        <x:f>F42*G42*H42</x:f>
        <x:v>5000000</x:v>
      </x:c>
      <x:c r="K42" s="54" t="n">
        <x:f>J42-L42</x:f>
        <x:v>5000000</x:v>
      </x:c>
      <x:c r="L42" s="54" t="n">
        <x:v>0</x:v>
      </x:c>
      <x:c r="M42" s="12" t="str">
        <x:v>Bahan prototipe</x:v>
      </x:c>
    </x:row>
    <x:row r="43" ht="34" customHeight="1">
      <x:c r="A43" s="12"/>
      <x:c r="B43" s="12"/>
      <x:c r="C43" s="12" t="n">
        <x:v>9</x:v>
      </x:c>
      <x:c r="D43" s="12" t="str">
        <x:v>AC/DC cabling</x:v>
      </x:c>
      <x:c r="E43" s="12" t="str">
        <x:v>Kabel daya PV–BESS–grid dan charger</x:v>
      </x:c>
      <x:c r="F43" s="12" t="n">
        <x:v>1</x:v>
      </x:c>
      <x:c r="G43" s="12" t="n">
        <x:v>1</x:v>
      </x:c>
      <x:c r="H43" s="54" t="n">
        <x:v>6000000</x:v>
      </x:c>
      <x:c r="I43" s="54" t="str">
        <x:v>lot</x:v>
      </x:c>
      <x:c r="J43" s="54" t="n">
        <x:f>F43*G43*H43</x:f>
        <x:v>6000000</x:v>
      </x:c>
      <x:c r="K43" s="54" t="n">
        <x:f>J43-L43</x:f>
        <x:v>6000000</x:v>
      </x:c>
      <x:c r="L43" s="54" t="n">
        <x:v>0</x:v>
      </x:c>
      <x:c r="M43" s="12" t="str">
        <x:v>Bahan prototipe</x:v>
      </x:c>
    </x:row>
    <x:row r="44" ht="34" customHeight="1">
      <x:c r="A44" s="12"/>
      <x:c r="B44" s="12"/>
      <x:c r="C44" s="12" t="n">
        <x:v>10</x:v>
      </x:c>
      <x:c r="D44" s="12" t="str">
        <x:v>Terminal, cable gland dan safety label</x:v>
      </x:c>
      <x:c r="E44" s="12" t="str">
        <x:v>Perakitan panel dan penandaan keselamatan</x:v>
      </x:c>
      <x:c r="F44" s="12" t="n">
        <x:v>1</x:v>
      </x:c>
      <x:c r="G44" s="12" t="n">
        <x:v>1</x:v>
      </x:c>
      <x:c r="H44" s="54" t="n">
        <x:v>3000000</x:v>
      </x:c>
      <x:c r="I44" s="54" t="str">
        <x:v>lot</x:v>
      </x:c>
      <x:c r="J44" s="54" t="n">
        <x:f>F44*G44*H44</x:f>
        <x:v>3000000</x:v>
      </x:c>
      <x:c r="K44" s="54" t="n">
        <x:f>J44-L44</x:f>
        <x:v>3000000</x:v>
      </x:c>
      <x:c r="L44" s="54" t="n">
        <x:v>0</x:v>
      </x:c>
      <x:c r="M44" s="12" t="str">
        <x:v>Bahan prototipe</x:v>
      </x:c>
    </x:row>
    <x:row r="45" ht="34" customHeight="1">
      <x:c r="A45" s="12"/>
      <x:c r="B45" s="12"/>
      <x:c r="C45" s="12" t="n">
        <x:v>11</x:v>
      </x:c>
      <x:c r="D45" s="12" t="str">
        <x:v>Network surge protector</x:v>
      </x:c>
      <x:c r="E45" s="12" t="str">
        <x:v>Proteksi port Ethernet/RS485 pada perangkat lapangan</x:v>
      </x:c>
      <x:c r="F45" s="12" t="n">
        <x:v>4</x:v>
      </x:c>
      <x:c r="G45" s="12" t="n">
        <x:v>1</x:v>
      </x:c>
      <x:c r="H45" s="54" t="n">
        <x:v>500000</x:v>
      </x:c>
      <x:c r="I45" s="54" t="str">
        <x:v>unit</x:v>
      </x:c>
      <x:c r="J45" s="54" t="n">
        <x:f>F45*G45*H45</x:f>
        <x:v>2000000</x:v>
      </x:c>
      <x:c r="K45" s="54" t="n">
        <x:f>J45-L45</x:f>
        <x:v>2000000</x:v>
      </x:c>
      <x:c r="L45" s="54" t="n">
        <x:v>0</x:v>
      </x:c>
      <x:c r="M45" s="12" t="str">
        <x:v>Komponen terintegrasi dalam purwarupa</x:v>
      </x:c>
    </x:row>
    <x:row r="46" ht="34" customHeight="1">
      <x:c r="A46" s="12"/>
      <x:c r="B46" s="12"/>
      <x:c r="C46" s="12" t="n">
        <x:v>12</x:v>
      </x:c>
      <x:c r="D46" s="12" t="str">
        <x:v>Cooling fan dan heat-sink</x:v>
      </x:c>
      <x:c r="E46" s="12" t="str">
        <x:v>Manajemen termal panel dan controller</x:v>
      </x:c>
      <x:c r="F46" s="12" t="n">
        <x:v>4</x:v>
      </x:c>
      <x:c r="G46" s="12" t="n">
        <x:v>1</x:v>
      </x:c>
      <x:c r="H46" s="54" t="n">
        <x:v>600000</x:v>
      </x:c>
      <x:c r="I46" s="54" t="str">
        <x:v>set</x:v>
      </x:c>
      <x:c r="J46" s="54" t="n">
        <x:f>F46*G46*H46</x:f>
        <x:v>2400000</x:v>
      </x:c>
      <x:c r="K46" s="54" t="n">
        <x:f>J46-L46</x:f>
        <x:v>2400000</x:v>
      </x:c>
      <x:c r="L46" s="54" t="n">
        <x:v>0</x:v>
      </x:c>
      <x:c r="M46" s="12" t="str">
        <x:v>Komponen terintegrasi dalam purwarupa</x:v>
      </x:c>
    </x:row>
    <x:row r="47" ht="34" customHeight="1">
      <x:c r="A47" s="12"/>
      <x:c r="B47" s="12"/>
      <x:c r="C47" s="12" t="n">
        <x:v>13</x:v>
      </x:c>
      <x:c r="D47" s="12" t="str">
        <x:v>Spare relay, contactor dan sensor</x:v>
      </x:c>
      <x:c r="E47" s="12" t="str">
        <x:v>Penggantian saat commissioning/fault injection</x:v>
      </x:c>
      <x:c r="F47" s="12" t="n">
        <x:v>1</x:v>
      </x:c>
      <x:c r="G47" s="12" t="n">
        <x:v>1</x:v>
      </x:c>
      <x:c r="H47" s="54" t="n">
        <x:v>4000000</x:v>
      </x:c>
      <x:c r="I47" s="54" t="str">
        <x:v>lot</x:v>
      </x:c>
      <x:c r="J47" s="54" t="n">
        <x:f>F47*G47*H47</x:f>
        <x:v>4000000</x:v>
      </x:c>
      <x:c r="K47" s="54" t="n">
        <x:f>J47-L47</x:f>
        <x:v>4000000</x:v>
      </x:c>
      <x:c r="L47" s="54" t="n">
        <x:v>0</x:v>
      </x:c>
      <x:c r="M47" s="12" t="str">
        <x:v>Bahan habis pakai operasional</x:v>
      </x:c>
    </x:row>
    <x:row r="48" ht="34" customHeight="1">
      <x:c r="A48" s="12"/>
      <x:c r="B48" s="12"/>
      <x:c r="C48" s="12" t="n">
        <x:v>14</x:v>
      </x:c>
      <x:c r="D48" s="12" t="str">
        <x:v>Mounting bracket dan komponen enclosure</x:v>
      </x:c>
      <x:c r="E48" s="12" t="str">
        <x:v>Penguatan perakitan panel dan sensor</x:v>
      </x:c>
      <x:c r="F48" s="12" t="n">
        <x:v>1</x:v>
      </x:c>
      <x:c r="G48" s="12" t="n">
        <x:v>1</x:v>
      </x:c>
      <x:c r="H48" s="54" t="n">
        <x:v>1000000</x:v>
      </x:c>
      <x:c r="I48" s="54" t="str">
        <x:v>lot</x:v>
      </x:c>
      <x:c r="J48" s="54" t="n">
        <x:f>F48*G48*H48</x:f>
        <x:v>1000000</x:v>
      </x:c>
      <x:c r="K48" s="54" t="n">
        <x:f>J48-L48</x:f>
        <x:v>1000000</x:v>
      </x:c>
      <x:c r="L48" s="54" t="n">
        <x:v>0</x:v>
      </x:c>
      <x:c r="M48" s="12" t="str">
        <x:v>Bahan prototipe</x:v>
      </x:c>
    </x:row>
    <x:row r="49" ht="34" customHeight="1">
      <x:c r="A49" s="44"/>
      <x:c r="B49" s="44"/>
      <x:c r="C49" s="44" t="str">
        <x:v>Subtotal</x:v>
      </x:c>
      <x:c r="D49" s="44"/>
      <x:c r="E49" s="44"/>
      <x:c r="F49" s="44"/>
      <x:c r="G49" s="44"/>
      <x:c r="H49" s="55"/>
      <x:c r="I49" s="55"/>
      <x:c r="J49" s="55" t="n">
        <x:f>SUM(J35:J48)</x:f>
        <x:v>40000000</x:v>
      </x:c>
      <x:c r="K49" s="55" t="n">
        <x:f>SUM(K35:K48)</x:f>
        <x:v>40000000</x:v>
      </x:c>
      <x:c r="L49" s="55" t="n">
        <x:f>SUM(L35:L48)</x:f>
        <x:v>0</x:v>
      </x:c>
      <x:c r="M49" s="44"/>
    </x:row>
    <x:row r="50" ht="34" customHeight="1">
      <x:c r="A50" s="44"/>
      <x:c r="B50" s="44" t="str">
        <x:v>Total Indikator</x:v>
      </x:c>
      <x:c r="C50" s="44"/>
      <x:c r="D50" s="44"/>
      <x:c r="E50" s="44"/>
      <x:c r="F50" s="44"/>
      <x:c r="G50" s="44"/>
      <x:c r="H50" s="55"/>
      <x:c r="I50" s="55"/>
      <x:c r="J50" s="55" t="n">
        <x:f>J24+J33+J49</x:f>
        <x:v>125000000</x:v>
      </x:c>
      <x:c r="K50" s="55" t="n">
        <x:f>K24+K33+K49</x:f>
        <x:v>125000000</x:v>
      </x:c>
      <x:c r="L50" s="55" t="n">
        <x:f>L24+L33+L49</x:f>
        <x:v>0</x:v>
      </x:c>
      <x:c r="M50" s="44"/>
    </x:row>
    <x:row r="51" ht="34" customHeight="1">
      <x:c r="A51" s="42"/>
      <x:c r="B51" s="42" t="str">
        <x:v>B.2</x:v>
      </x:c>
      <x:c r="C51" s="42" t="str">
        <x:v>Indikator 2</x:v>
      </x:c>
      <x:c r="D51" s="42" t="str">
        <x:v>Pilot, monitoring, keamanan dan luaran akhir</x:v>
      </x:c>
      <x:c r="E51" s="42" t="str">
        <x:v>Commissioning, operasi multi-kondisi, analisis dan paket replikasi.</x:v>
      </x:c>
      <x:c r="F51" s="42"/>
      <x:c r="G51" s="42"/>
      <x:c r="H51" s="52"/>
      <x:c r="I51" s="52"/>
      <x:c r="J51" s="52"/>
      <x:c r="K51" s="52"/>
      <x:c r="L51" s="52"/>
      <x:c r="M51" s="42"/>
    </x:row>
    <x:row r="52" ht="34" customHeight="1">
      <x:c r="A52" s="43"/>
      <x:c r="B52" s="43" t="str">
        <x:v>B.2.1</x:v>
      </x:c>
      <x:c r="C52" s="43" t="str">
        <x:v>Operasi dan Jasa Pengujian</x:v>
      </x:c>
      <x:c r="D52" s="43"/>
      <x:c r="E52" s="43"/>
      <x:c r="F52" s="43"/>
      <x:c r="G52" s="43"/>
      <x:c r="H52" s="53"/>
      <x:c r="I52" s="53"/>
      <x:c r="J52" s="53"/>
      <x:c r="K52" s="53"/>
      <x:c r="L52" s="53"/>
      <x:c r="M52" s="43"/>
    </x:row>
    <x:row r="53" ht="34" customHeight="1">
      <x:c r="A53" s="12"/>
      <x:c r="B53" s="12"/>
      <x:c r="C53" s="12" t="n">
        <x:v>1</x:v>
      </x:c>
      <x:c r="D53" s="12" t="str">
        <x:v>Instalasi, commissioning dan safety verification</x:v>
      </x:c>
      <x:c r="E53" s="12" t="str">
        <x:v>Integrasi grid/islanding dan commissioning report</x:v>
      </x:c>
      <x:c r="F53" s="12" t="n">
        <x:v>1</x:v>
      </x:c>
      <x:c r="G53" s="12" t="n">
        <x:v>1</x:v>
      </x:c>
      <x:c r="H53" s="54" t="n">
        <x:v>15000000</x:v>
      </x:c>
      <x:c r="I53" s="54" t="str">
        <x:v>paket</x:v>
      </x:c>
      <x:c r="J53" s="54" t="n">
        <x:f>F53*G53*H53</x:f>
        <x:v>15000000</x:v>
      </x:c>
      <x:c r="K53" s="54" t="n">
        <x:f>J53-L53</x:f>
        <x:v>15000000</x:v>
      </x:c>
      <x:c r="L53" s="54" t="n">
        <x:v>0</x:v>
      </x:c>
      <x:c r="M53" s="12" t="str">
        <x:v>HPS jasa teknis</x:v>
      </x:c>
    </x:row>
    <x:row r="54" ht="34" customHeight="1">
      <x:c r="A54" s="12"/>
      <x:c r="B54" s="12"/>
      <x:c r="C54" s="12" t="n">
        <x:v>2</x:v>
      </x:c>
      <x:c r="D54" s="12" t="str">
        <x:v>Sewa power quality analyzer dan battery analyzer</x:v>
      </x:c>
      <x:c r="E54" s="12" t="str">
        <x:v>Efisiensi, power quality, throughput dan SOH proxy</x:v>
      </x:c>
      <x:c r="F54" s="12" t="n">
        <x:v>1</x:v>
      </x:c>
      <x:c r="G54" s="12" t="n">
        <x:v>1</x:v>
      </x:c>
      <x:c r="H54" s="54" t="n">
        <x:v>8000000</x:v>
      </x:c>
      <x:c r="I54" s="54" t="str">
        <x:v>paket</x:v>
      </x:c>
      <x:c r="J54" s="54" t="n">
        <x:f>F54*G54*H54</x:f>
        <x:v>8000000</x:v>
      </x:c>
      <x:c r="K54" s="54" t="n">
        <x:f>J54-L54</x:f>
        <x:v>8000000</x:v>
      </x:c>
      <x:c r="L54" s="54" t="n">
        <x:v>0</x:v>
      </x:c>
      <x:c r="M54" s="12" t="str">
        <x:v>HPS laboratorium</x:v>
      </x:c>
    </x:row>
    <x:row r="55" ht="34" customHeight="1">
      <x:c r="A55" s="12"/>
      <x:c r="B55" s="12"/>
      <x:c r="C55" s="12" t="n">
        <x:v>3</x:v>
      </x:c>
      <x:c r="D55" s="12" t="str">
        <x:v>Cloud, database, konektivitas dan backup</x:v>
      </x:c>
      <x:c r="E55" s="12" t="str">
        <x:v>Operasi CSMS/CMS/EMS selama Tahun II</x:v>
      </x:c>
      <x:c r="F55" s="12" t="n">
        <x:v>1</x:v>
      </x:c>
      <x:c r="G55" s="12" t="n">
        <x:v>1</x:v>
      </x:c>
      <x:c r="H55" s="54" t="n">
        <x:v>6000000</x:v>
      </x:c>
      <x:c r="I55" s="54" t="str">
        <x:v>paket</x:v>
      </x:c>
      <x:c r="J55" s="54" t="n">
        <x:f>F55*G55*H55</x:f>
        <x:v>6000000</x:v>
      </x:c>
      <x:c r="K55" s="54" t="n">
        <x:f>J55-L55</x:f>
        <x:v>6000000</x:v>
      </x:c>
      <x:c r="L55" s="54" t="n">
        <x:v>0</x:v>
      </x:c>
      <x:c r="M55" s="12" t="str">
        <x:v>HPS layanan</x:v>
      </x:c>
    </x:row>
    <x:row r="56" ht="34" customHeight="1">
      <x:c r="A56" s="12"/>
      <x:c r="B56" s="12"/>
      <x:c r="C56" s="12" t="n">
        <x:v>4</x:v>
      </x:c>
      <x:c r="D56" s="12" t="str">
        <x:v>Preventive maintenance</x:v>
      </x:c>
      <x:c r="E56" s="12" t="str">
        <x:v>Inspeksi, cleaning, torque check dan health check</x:v>
      </x:c>
      <x:c r="F56" s="12" t="n">
        <x:v>1</x:v>
      </x:c>
      <x:c r="G56" s="12" t="n">
        <x:v>1</x:v>
      </x:c>
      <x:c r="H56" s="54" t="n">
        <x:v>5000000</x:v>
      </x:c>
      <x:c r="I56" s="54" t="str">
        <x:v>paket</x:v>
      </x:c>
      <x:c r="J56" s="54" t="n">
        <x:f>F56*G56*H56</x:f>
        <x:v>5000000</x:v>
      </x:c>
      <x:c r="K56" s="54" t="n">
        <x:f>J56-L56</x:f>
        <x:v>5000000</x:v>
      </x:c>
      <x:c r="L56" s="54" t="n">
        <x:v>0</x:v>
      </x:c>
      <x:c r="M56" s="12" t="str">
        <x:v>HPS vendor</x:v>
      </x:c>
    </x:row>
    <x:row r="57" ht="34" customHeight="1">
      <x:c r="A57" s="12"/>
      <x:c r="B57" s="12"/>
      <x:c r="C57" s="12" t="n">
        <x:v>5</x:v>
      </x:c>
      <x:c r="D57" s="12" t="str">
        <x:v>Penetration test dan independent code review</x:v>
      </x:c>
      <x:c r="E57" s="12" t="str">
        <x:v>Audit gateway, API, cloud dan dashboard</x:v>
      </x:c>
      <x:c r="F57" s="12" t="n">
        <x:v>1</x:v>
      </x:c>
      <x:c r="G57" s="12" t="n">
        <x:v>1</x:v>
      </x:c>
      <x:c r="H57" s="54" t="n">
        <x:v>5700000</x:v>
      </x:c>
      <x:c r="I57" s="54" t="str">
        <x:v>paket</x:v>
      </x:c>
      <x:c r="J57" s="54" t="n">
        <x:f>F57*G57*H57</x:f>
        <x:v>5700000</x:v>
      </x:c>
      <x:c r="K57" s="54" t="n">
        <x:f>J57-L57</x:f>
        <x:v>5700000</x:v>
      </x:c>
      <x:c r="L57" s="54" t="n">
        <x:v>0</x:v>
      </x:c>
      <x:c r="M57" s="12" t="str">
        <x:v>HPS jasa cybersecurity</x:v>
      </x:c>
    </x:row>
    <x:row r="58" ht="34" customHeight="1">
      <x:c r="A58" s="44"/>
      <x:c r="B58" s="44"/>
      <x:c r="C58" s="44" t="str">
        <x:v>Subtotal</x:v>
      </x:c>
      <x:c r="D58" s="44"/>
      <x:c r="E58" s="44"/>
      <x:c r="F58" s="44"/>
      <x:c r="G58" s="44"/>
      <x:c r="H58" s="55"/>
      <x:c r="I58" s="55"/>
      <x:c r="J58" s="55" t="n">
        <x:f>SUM(J53:J57)</x:f>
        <x:v>39700000</x:v>
      </x:c>
      <x:c r="K58" s="55" t="n">
        <x:f>SUM(K53:K57)</x:f>
        <x:v>39700000</x:v>
      </x:c>
      <x:c r="L58" s="55" t="n">
        <x:f>SUM(L53:L57)</x:f>
        <x:v>0</x:v>
      </x:c>
      <x:c r="M58" s="44"/>
    </x:row>
    <x:row r="59" ht="34" customHeight="1">
      <x:c r="A59" s="43"/>
      <x:c r="B59" s="43" t="str">
        <x:v>B.2.2</x:v>
      </x:c>
      <x:c r="C59" s="43" t="str">
        <x:v>Lapangan dan Luaran</x:v>
      </x:c>
      <x:c r="D59" s="43"/>
      <x:c r="E59" s="43"/>
      <x:c r="F59" s="43"/>
      <x:c r="G59" s="43"/>
      <x:c r="H59" s="53"/>
      <x:c r="I59" s="53"/>
      <x:c r="J59" s="53"/>
      <x:c r="K59" s="53"/>
      <x:c r="L59" s="53"/>
      <x:c r="M59" s="43"/>
    </x:row>
    <x:row r="60" ht="34" customHeight="1">
      <x:c r="A60" s="12"/>
      <x:c r="B60" s="12"/>
      <x:c r="C60" s="12" t="n">
        <x:v>1</x:v>
      </x:c>
      <x:c r="D60" s="12" t="str">
        <x:v>Perjalanan commissioning dan monitoring</x:v>
      </x:c>
      <x:c r="E60" s="12" t="str">
        <x:v>Pengambilan data, troubleshooting dan evaluasi lokasi</x:v>
      </x:c>
      <x:c r="F60" s="12" t="n">
        <x:v>1</x:v>
      </x:c>
      <x:c r="G60" s="12" t="n">
        <x:v>1</x:v>
      </x:c>
      <x:c r="H60" s="54" t="n">
        <x:v>8000000</x:v>
      </x:c>
      <x:c r="I60" s="54" t="str">
        <x:v>paket</x:v>
      </x:c>
      <x:c r="J60" s="54" t="n">
        <x:f>F60*G60*H60</x:f>
        <x:v>8000000</x:v>
      </x:c>
      <x:c r="K60" s="54" t="n">
        <x:f>J60-L60</x:f>
        <x:v>8000000</x:v>
      </x:c>
      <x:c r="L60" s="54" t="n">
        <x:v>0</x:v>
      </x:c>
      <x:c r="M60" s="12" t="str">
        <x:v>SBM tahun berjalan</x:v>
      </x:c>
    </x:row>
    <x:row r="61" ht="34" customHeight="1">
      <x:c r="A61" s="12"/>
      <x:c r="B61" s="12"/>
      <x:c r="C61" s="12" t="n">
        <x:v>2</x:v>
      </x:c>
      <x:c r="D61" s="12" t="str">
        <x:v>FGD validasi, SOP dan diseminasi</x:v>
      </x:c>
      <x:c r="E61" s="12" t="str">
        <x:v>Penerimaan pengguna dan transfer pengetahuan</x:v>
      </x:c>
      <x:c r="F61" s="12" t="n">
        <x:v>1</x:v>
      </x:c>
      <x:c r="G61" s="12" t="n">
        <x:v>1</x:v>
      </x:c>
      <x:c r="H61" s="54" t="n">
        <x:v>4000000</x:v>
      </x:c>
      <x:c r="I61" s="54" t="str">
        <x:v>paket</x:v>
      </x:c>
      <x:c r="J61" s="54" t="n">
        <x:f>F61*G61*H61</x:f>
        <x:v>4000000</x:v>
      </x:c>
      <x:c r="K61" s="54" t="n">
        <x:f>J61-L61</x:f>
        <x:v>4000000</x:v>
      </x:c>
      <x:c r="L61" s="54" t="n">
        <x:v>0</x:v>
      </x:c>
      <x:c r="M61" s="12" t="str">
        <x:v>SBM/internal</x:v>
      </x:c>
    </x:row>
    <x:row r="62" ht="34" customHeight="1">
      <x:c r="A62" s="12"/>
      <x:c r="B62" s="12"/>
      <x:c r="C62" s="12" t="n">
        <x:v>3</x:v>
      </x:c>
      <x:c r="D62" s="12" t="str">
        <x:v>Penyempurnaan KI</x:v>
      </x:c>
      <x:c r="E62" s="12" t="str">
        <x:v>Respons pemeriksaan dan perbaikan dokumen paten</x:v>
      </x:c>
      <x:c r="F62" s="12" t="n">
        <x:v>1</x:v>
      </x:c>
      <x:c r="G62" s="12" t="n">
        <x:v>1</x:v>
      </x:c>
      <x:c r="H62" s="54" t="n">
        <x:v>3000000</x:v>
      </x:c>
      <x:c r="I62" s="54" t="str">
        <x:v>paket</x:v>
      </x:c>
      <x:c r="J62" s="54" t="n">
        <x:f>F62*G62*H62</x:f>
        <x:v>3000000</x:v>
      </x:c>
      <x:c r="K62" s="54" t="n">
        <x:f>J62-L62</x:f>
        <x:v>3000000</x:v>
      </x:c>
      <x:c r="L62" s="54" t="n">
        <x:v>0</x:v>
      </x:c>
      <x:c r="M62" s="12" t="str">
        <x:v>DJKI/HPS jasa</x:v>
      </x:c>
    </x:row>
    <x:row r="63" ht="34" customHeight="1">
      <x:c r="A63" s="12"/>
      <x:c r="B63" s="12"/>
      <x:c r="C63" s="12" t="n">
        <x:v>4</x:v>
      </x:c>
      <x:c r="D63" s="12" t="str">
        <x:v>Data curation, deposit RIN dan model card</x:v>
      </x:c>
      <x:c r="E63" s="12" t="str">
        <x:v>Dataset v2, metadata dan reproducibility package</x:v>
      </x:c>
      <x:c r="F63" s="12" t="n">
        <x:v>1</x:v>
      </x:c>
      <x:c r="G63" s="12" t="n">
        <x:v>1</x:v>
      </x:c>
      <x:c r="H63" s="54" t="n">
        <x:v>3000000</x:v>
      </x:c>
      <x:c r="I63" s="54" t="str">
        <x:v>paket</x:v>
      </x:c>
      <x:c r="J63" s="54" t="n">
        <x:f>F63*G63*H63</x:f>
        <x:v>3000000</x:v>
      </x:c>
      <x:c r="K63" s="54" t="n">
        <x:f>J63-L63</x:f>
        <x:v>3000000</x:v>
      </x:c>
      <x:c r="L63" s="54" t="n">
        <x:v>0</x:v>
      </x:c>
      <x:c r="M63" s="12" t="str">
        <x:v>HPS jasa data</x:v>
      </x:c>
    </x:row>
    <x:row r="64" ht="34" customHeight="1">
      <x:c r="A64" s="12"/>
      <x:c r="B64" s="12"/>
      <x:c r="C64" s="12" t="n">
        <x:v>5</x:v>
      </x:c>
      <x:c r="D64" s="12" t="str">
        <x:v>Feasibility dan techno-economic brief</x:v>
      </x:c>
      <x:c r="E64" s="12" t="str">
        <x:v>Analisis biaya, emisi, ESG dan strategi hilirisasi</x:v>
      </x:c>
      <x:c r="F64" s="12" t="n">
        <x:v>1</x:v>
      </x:c>
      <x:c r="G64" s="12" t="n">
        <x:v>1</x:v>
      </x:c>
      <x:c r="H64" s="54" t="n">
        <x:v>2000000</x:v>
      </x:c>
      <x:c r="I64" s="54" t="str">
        <x:v>paket</x:v>
      </x:c>
      <x:c r="J64" s="54" t="n">
        <x:f>F64*G64*H64</x:f>
        <x:v>2000000</x:v>
      </x:c>
      <x:c r="K64" s="54" t="n">
        <x:f>J64-L64</x:f>
        <x:v>2000000</x:v>
      </x:c>
      <x:c r="L64" s="54" t="n">
        <x:v>0</x:v>
      </x:c>
      <x:c r="M64" s="12" t="str">
        <x:v>HPS jasa</x:v>
      </x:c>
    </x:row>
    <x:row r="65" ht="34" customHeight="1">
      <x:c r="A65" s="44"/>
      <x:c r="B65" s="44"/>
      <x:c r="C65" s="44" t="str">
        <x:v>Subtotal</x:v>
      </x:c>
      <x:c r="D65" s="44"/>
      <x:c r="E65" s="44"/>
      <x:c r="F65" s="44"/>
      <x:c r="G65" s="44"/>
      <x:c r="H65" s="55"/>
      <x:c r="I65" s="55"/>
      <x:c r="J65" s="55" t="n">
        <x:f>SUM(J60:J64)</x:f>
        <x:v>20000000</x:v>
      </x:c>
      <x:c r="K65" s="55" t="n">
        <x:f>SUM(K60:K64)</x:f>
        <x:v>20000000</x:v>
      </x:c>
      <x:c r="L65" s="55" t="n">
        <x:f>SUM(L60:L64)</x:f>
        <x:v>0</x:v>
      </x:c>
      <x:c r="M65" s="44"/>
    </x:row>
    <x:row r="66" ht="34" customHeight="1">
      <x:c r="A66" s="44"/>
      <x:c r="B66" s="44" t="str">
        <x:v>Total Indikator</x:v>
      </x:c>
      <x:c r="C66" s="44"/>
      <x:c r="D66" s="44"/>
      <x:c r="E66" s="44"/>
      <x:c r="F66" s="44"/>
      <x:c r="G66" s="44"/>
      <x:c r="H66" s="55"/>
      <x:c r="I66" s="55"/>
      <x:c r="J66" s="55" t="n">
        <x:f>J58+J65</x:f>
        <x:v>59700000</x:v>
      </x:c>
      <x:c r="K66" s="55" t="n">
        <x:f>K58+K65</x:f>
        <x:v>59700000</x:v>
      </x:c>
      <x:c r="L66" s="55" t="n">
        <x:f>L58+L65</x:f>
        <x:v>0</x:v>
      </x:c>
      <x:c r="M66" s="44"/>
    </x:row>
    <x:row r="67" ht="34" customHeight="1">
      <x:c r="A67" s="45" t="str">
        <x:v>TOTAL BLNP</x:v>
      </x:c>
      <x:c r="B67" s="45"/>
      <x:c r="C67" s="45"/>
      <x:c r="D67" s="45"/>
      <x:c r="E67" s="45"/>
      <x:c r="F67" s="45"/>
      <x:c r="G67" s="45"/>
      <x:c r="H67" s="56"/>
      <x:c r="I67" s="56"/>
      <x:c r="J67" s="56" t="n">
        <x:f>J50+J66</x:f>
        <x:v>184700000</x:v>
      </x:c>
      <x:c r="K67" s="56" t="n">
        <x:f>K50+K66</x:f>
        <x:v>184700000</x:v>
      </x:c>
      <x:c r="L67" s="56" t="n">
        <x:f>L50+L66</x:f>
        <x:v>0</x:v>
      </x:c>
      <x:c r="M67" s="45"/>
    </x:row>
    <x:row r="68" ht="34" customHeight="1">
      <x:c r="A68" s="45" t="str">
        <x:v>TOTAL I (BIAYA LANGSUNG)</x:v>
      </x:c>
      <x:c r="B68" s="45"/>
      <x:c r="C68" s="45"/>
      <x:c r="D68" s="45"/>
      <x:c r="E68" s="45"/>
      <x:c r="F68" s="45"/>
      <x:c r="G68" s="45"/>
      <x:c r="H68" s="56"/>
      <x:c r="I68" s="56"/>
      <x:c r="J68" s="56" t="n">
        <x:f>J18+J67</x:f>
        <x:v>237500000</x:v>
      </x:c>
      <x:c r="K68" s="56" t="n">
        <x:f>K18+K67</x:f>
        <x:v>237500000</x:v>
      </x:c>
      <x:c r="L68" s="56" t="n">
        <x:f>L18+L67</x:f>
        <x:v>0</x:v>
      </x:c>
      <x:c r="M68" s="45"/>
    </x:row>
    <x:row r="69" ht="34" customHeight="1">
      <x:c r="A69" s="12"/>
      <x:c r="B69" s="12"/>
      <x:c r="C69" s="12"/>
      <x:c r="D69" s="12"/>
      <x:c r="E69" s="12"/>
      <x:c r="F69" s="12"/>
      <x:c r="G69" s="12"/>
      <x:c r="H69" s="54"/>
      <x:c r="I69" s="54"/>
      <x:c r="J69" s="54"/>
      <x:c r="K69" s="54"/>
      <x:c r="L69" s="54"/>
      <x:c r="M69" s="12"/>
    </x:row>
    <x:row r="70" ht="34" customHeight="1">
      <x:c r="A70" s="42" t="str">
        <x:v>II.</x:v>
      </x:c>
      <x:c r="B70" s="42" t="str">
        <x:v>BIAYA TIDAK LANGSUNG</x:v>
      </x:c>
      <x:c r="C70" s="42"/>
      <x:c r="D70" s="42"/>
      <x:c r="E70" s="42"/>
      <x:c r="F70" s="42"/>
      <x:c r="G70" s="42"/>
      <x:c r="H70" s="52"/>
      <x:c r="I70" s="52"/>
      <x:c r="J70" s="52"/>
      <x:c r="K70" s="52"/>
      <x:c r="L70" s="52"/>
      <x:c r="M70" s="42"/>
    </x:row>
    <x:row r="71" ht="34" customHeight="1">
      <x:c r="A71" s="43"/>
      <x:c r="B71" s="43" t="str">
        <x:v>A.</x:v>
      </x:c>
      <x:c r="C71" s="43" t="str">
        <x:v>Monitoring Internal Tahap I</x:v>
      </x:c>
      <x:c r="D71" s="43" t="str">
        <x:v>Review metodologi, progres, DMP dan realisasi anggaran.</x:v>
      </x:c>
      <x:c r="E71" s="43"/>
      <x:c r="F71" s="43"/>
      <x:c r="G71" s="43"/>
      <x:c r="H71" s="53"/>
      <x:c r="I71" s="53"/>
      <x:c r="J71" s="53"/>
      <x:c r="K71" s="53"/>
      <x:c r="L71" s="53"/>
      <x:c r="M71" s="43"/>
    </x:row>
    <x:row r="72" ht="34" customHeight="1">
      <x:c r="A72" s="12"/>
      <x:c r="B72" s="12"/>
      <x:c r="C72" s="12" t="n">
        <x:v>1</x:v>
      </x:c>
      <x:c r="D72" s="12" t="str">
        <x:v>Honor reviewer internal</x:v>
      </x:c>
      <x:c r="E72" s="12" t="str">
        <x:v>Monev tahap I</x:v>
      </x:c>
      <x:c r="F72" s="12" t="n">
        <x:v>2</x:v>
      </x:c>
      <x:c r="G72" s="12" t="n">
        <x:v>2</x:v>
      </x:c>
      <x:c r="H72" s="54" t="n">
        <x:v>1000000</x:v>
      </x:c>
      <x:c r="I72" s="54" t="str">
        <x:v>OJ</x:v>
      </x:c>
      <x:c r="J72" s="54" t="n">
        <x:f>F72*G72*H72</x:f>
        <x:v>4000000</x:v>
      </x:c>
      <x:c r="K72" s="54" t="n">
        <x:f>J72-L72</x:f>
        <x:v>4000000</x:v>
      </x:c>
      <x:c r="L72" s="54" t="n">
        <x:v>0</x:v>
      </x:c>
      <x:c r="M72" s="12" t="str">
        <x:v>SBM/internal</x:v>
      </x:c>
    </x:row>
    <x:row r="73" ht="34" customHeight="1">
      <x:c r="A73" s="12"/>
      <x:c r="B73" s="12"/>
      <x:c r="C73" s="12" t="n">
        <x:v>2</x:v>
      </x:c>
      <x:c r="D73" s="12" t="str">
        <x:v>Transportasi reviewer</x:v>
      </x:c>
      <x:c r="E73" s="12" t="str">
        <x:v>Monev tahap I</x:v>
      </x:c>
      <x:c r="F73" s="12" t="n">
        <x:v>2</x:v>
      </x:c>
      <x:c r="G73" s="12" t="n">
        <x:v>1</x:v>
      </x:c>
      <x:c r="H73" s="54" t="n">
        <x:v>500000</x:v>
      </x:c>
      <x:c r="I73" s="54" t="str">
        <x:v>perjalanan</x:v>
      </x:c>
      <x:c r="J73" s="54" t="n">
        <x:f>F73*G73*H73</x:f>
        <x:v>1000000</x:v>
      </x:c>
      <x:c r="K73" s="54" t="n">
        <x:f>J73-L73</x:f>
        <x:v>1000000</x:v>
      </x:c>
      <x:c r="L73" s="54" t="n">
        <x:v>0</x:v>
      </x:c>
      <x:c r="M73" s="12" t="str">
        <x:v>SBM</x:v>
      </x:c>
    </x:row>
    <x:row r="74" ht="34" customHeight="1">
      <x:c r="A74" s="12"/>
      <x:c r="B74" s="12"/>
      <x:c r="C74" s="12" t="n">
        <x:v>3</x:v>
      </x:c>
      <x:c r="D74" s="12" t="str">
        <x:v>Akomodasi reviewer</x:v>
      </x:c>
      <x:c r="E74" s="12" t="str">
        <x:v>Monev tahap I</x:v>
      </x:c>
      <x:c r="F74" s="12" t="n">
        <x:v>1</x:v>
      </x:c>
      <x:c r="G74" s="12" t="n">
        <x:v>1</x:v>
      </x:c>
      <x:c r="H74" s="54" t="n">
        <x:v>750000</x:v>
      </x:c>
      <x:c r="I74" s="54" t="str">
        <x:v>malam</x:v>
      </x:c>
      <x:c r="J74" s="54" t="n">
        <x:f>F74*G74*H74</x:f>
        <x:v>750000</x:v>
      </x:c>
      <x:c r="K74" s="54" t="n">
        <x:f>J74-L74</x:f>
        <x:v>750000</x:v>
      </x:c>
      <x:c r="L74" s="54" t="n">
        <x:v>0</x:v>
      </x:c>
      <x:c r="M74" s="12" t="str">
        <x:v>SBM</x:v>
      </x:c>
    </x:row>
    <x:row r="75" ht="34" customHeight="1">
      <x:c r="A75" s="12"/>
      <x:c r="B75" s="12"/>
      <x:c r="C75" s="12" t="n">
        <x:v>4</x:v>
      </x:c>
      <x:c r="D75" s="12" t="str">
        <x:v>Konsumsi rapat monev</x:v>
      </x:c>
      <x:c r="E75" s="12" t="str">
        <x:v>Monev tahap I</x:v>
      </x:c>
      <x:c r="F75" s="12" t="n">
        <x:v>10</x:v>
      </x:c>
      <x:c r="G75" s="12" t="n">
        <x:v>1</x:v>
      </x:c>
      <x:c r="H75" s="54" t="n">
        <x:v>50000</x:v>
      </x:c>
      <x:c r="I75" s="54" t="str">
        <x:v>orang</x:v>
      </x:c>
      <x:c r="J75" s="54" t="n">
        <x:f>F75*G75*H75</x:f>
        <x:v>500000</x:v>
      </x:c>
      <x:c r="K75" s="54" t="n">
        <x:f>J75-L75</x:f>
        <x:v>500000</x:v>
      </x:c>
      <x:c r="L75" s="54" t="n">
        <x:v>0</x:v>
      </x:c>
      <x:c r="M75" s="12" t="str">
        <x:v>SBM/internal</x:v>
      </x:c>
    </x:row>
    <x:row r="76" ht="34" customHeight="1">
      <x:c r="A76" s="44"/>
      <x:c r="B76" s="44"/>
      <x:c r="C76" s="44" t="str">
        <x:v>Subtotal</x:v>
      </x:c>
      <x:c r="D76" s="44"/>
      <x:c r="E76" s="44"/>
      <x:c r="F76" s="44"/>
      <x:c r="G76" s="44"/>
      <x:c r="H76" s="55"/>
      <x:c r="I76" s="55"/>
      <x:c r="J76" s="55" t="n">
        <x:f>SUM(J72:J75)</x:f>
        <x:v>6250000</x:v>
      </x:c>
      <x:c r="K76" s="55" t="n">
        <x:f>SUM(K72:K75)</x:f>
        <x:v>6250000</x:v>
      </x:c>
      <x:c r="L76" s="55" t="n">
        <x:f>SUM(L72:L75)</x:f>
        <x:v>0</x:v>
      </x:c>
      <x:c r="M76" s="44"/>
    </x:row>
    <x:row r="77" ht="34" customHeight="1">
      <x:c r="A77" s="43"/>
      <x:c r="B77" s="43" t="str">
        <x:v>B.</x:v>
      </x:c>
      <x:c r="C77" s="43" t="str">
        <x:v>Evaluasi Internal Akhir Periode</x:v>
      </x:c>
      <x:c r="D77" s="43" t="str">
        <x:v>Evaluasi TKT, luaran dan kesiapan periode berikutnya/akhir.</x:v>
      </x:c>
      <x:c r="E77" s="43"/>
      <x:c r="F77" s="43"/>
      <x:c r="G77" s="43"/>
      <x:c r="H77" s="53"/>
      <x:c r="I77" s="53"/>
      <x:c r="J77" s="53"/>
      <x:c r="K77" s="53"/>
      <x:c r="L77" s="53"/>
      <x:c r="M77" s="43"/>
    </x:row>
    <x:row r="78" ht="34" customHeight="1">
      <x:c r="A78" s="12"/>
      <x:c r="B78" s="12"/>
      <x:c r="C78" s="12" t="n">
        <x:v>1</x:v>
      </x:c>
      <x:c r="D78" s="12" t="str">
        <x:v>Honor reviewer internal</x:v>
      </x:c>
      <x:c r="E78" s="12" t="str">
        <x:v>Evaluasi akhir periode</x:v>
      </x:c>
      <x:c r="F78" s="12" t="n">
        <x:v>2</x:v>
      </x:c>
      <x:c r="G78" s="12" t="n">
        <x:v>2</x:v>
      </x:c>
      <x:c r="H78" s="54" t="n">
        <x:v>1000000</x:v>
      </x:c>
      <x:c r="I78" s="54" t="str">
        <x:v>OJ</x:v>
      </x:c>
      <x:c r="J78" s="54" t="n">
        <x:f>F78*G78*H78</x:f>
        <x:v>4000000</x:v>
      </x:c>
      <x:c r="K78" s="54" t="n">
        <x:f>J78-L78</x:f>
        <x:v>4000000</x:v>
      </x:c>
      <x:c r="L78" s="54" t="n">
        <x:v>0</x:v>
      </x:c>
      <x:c r="M78" s="12" t="str">
        <x:v>SBM/internal</x:v>
      </x:c>
    </x:row>
    <x:row r="79" ht="34" customHeight="1">
      <x:c r="A79" s="12"/>
      <x:c r="B79" s="12"/>
      <x:c r="C79" s="12" t="n">
        <x:v>2</x:v>
      </x:c>
      <x:c r="D79" s="12" t="str">
        <x:v>Transportasi reviewer</x:v>
      </x:c>
      <x:c r="E79" s="12" t="str">
        <x:v>Evaluasi akhir periode</x:v>
      </x:c>
      <x:c r="F79" s="12" t="n">
        <x:v>2</x:v>
      </x:c>
      <x:c r="G79" s="12" t="n">
        <x:v>1</x:v>
      </x:c>
      <x:c r="H79" s="54" t="n">
        <x:v>500000</x:v>
      </x:c>
      <x:c r="I79" s="54" t="str">
        <x:v>perjalanan</x:v>
      </x:c>
      <x:c r="J79" s="54" t="n">
        <x:f>F79*G79*H79</x:f>
        <x:v>1000000</x:v>
      </x:c>
      <x:c r="K79" s="54" t="n">
        <x:f>J79-L79</x:f>
        <x:v>1000000</x:v>
      </x:c>
      <x:c r="L79" s="54" t="n">
        <x:v>0</x:v>
      </x:c>
      <x:c r="M79" s="12" t="str">
        <x:v>SBM</x:v>
      </x:c>
    </x:row>
    <x:row r="80" ht="34" customHeight="1">
      <x:c r="A80" s="12"/>
      <x:c r="B80" s="12"/>
      <x:c r="C80" s="12" t="n">
        <x:v>3</x:v>
      </x:c>
      <x:c r="D80" s="12" t="str">
        <x:v>Akomodasi reviewer</x:v>
      </x:c>
      <x:c r="E80" s="12" t="str">
        <x:v>Evaluasi akhir periode</x:v>
      </x:c>
      <x:c r="F80" s="12" t="n">
        <x:v>1</x:v>
      </x:c>
      <x:c r="G80" s="12" t="n">
        <x:v>1</x:v>
      </x:c>
      <x:c r="H80" s="54" t="n">
        <x:v>750000</x:v>
      </x:c>
      <x:c r="I80" s="54" t="str">
        <x:v>malam</x:v>
      </x:c>
      <x:c r="J80" s="54" t="n">
        <x:f>F80*G80*H80</x:f>
        <x:v>750000</x:v>
      </x:c>
      <x:c r="K80" s="54" t="n">
        <x:f>J80-L80</x:f>
        <x:v>750000</x:v>
      </x:c>
      <x:c r="L80" s="54" t="n">
        <x:v>0</x:v>
      </x:c>
      <x:c r="M80" s="12" t="str">
        <x:v>SBM</x:v>
      </x:c>
    </x:row>
    <x:row r="81" ht="34" customHeight="1">
      <x:c r="A81" s="12"/>
      <x:c r="B81" s="12"/>
      <x:c r="C81" s="12" t="n">
        <x:v>4</x:v>
      </x:c>
      <x:c r="D81" s="12" t="str">
        <x:v>Konsumsi rapat evaluasi</x:v>
      </x:c>
      <x:c r="E81" s="12" t="str">
        <x:v>Evaluasi akhir periode</x:v>
      </x:c>
      <x:c r="F81" s="12" t="n">
        <x:v>10</x:v>
      </x:c>
      <x:c r="G81" s="12" t="n">
        <x:v>1</x:v>
      </x:c>
      <x:c r="H81" s="54" t="n">
        <x:v>50000</x:v>
      </x:c>
      <x:c r="I81" s="54" t="str">
        <x:v>orang</x:v>
      </x:c>
      <x:c r="J81" s="54" t="n">
        <x:f>F81*G81*H81</x:f>
        <x:v>500000</x:v>
      </x:c>
      <x:c r="K81" s="54" t="n">
        <x:f>J81-L81</x:f>
        <x:v>500000</x:v>
      </x:c>
      <x:c r="L81" s="54" t="n">
        <x:v>0</x:v>
      </x:c>
      <x:c r="M81" s="12" t="str">
        <x:v>SBM/internal</x:v>
      </x:c>
    </x:row>
    <x:row r="82" ht="34" customHeight="1">
      <x:c r="A82" s="44"/>
      <x:c r="B82" s="44"/>
      <x:c r="C82" s="44" t="str">
        <x:v>Subtotal</x:v>
      </x:c>
      <x:c r="D82" s="44"/>
      <x:c r="E82" s="44"/>
      <x:c r="F82" s="44"/>
      <x:c r="G82" s="44"/>
      <x:c r="H82" s="55"/>
      <x:c r="I82" s="55"/>
      <x:c r="J82" s="55" t="n">
        <x:f>SUM(J78:J81)</x:f>
        <x:v>6250000</x:v>
      </x:c>
      <x:c r="K82" s="55" t="n">
        <x:f>SUM(K78:K81)</x:f>
        <x:v>6250000</x:v>
      </x:c>
      <x:c r="L82" s="55" t="n">
        <x:f>SUM(L78:L81)</x:f>
        <x:v>0</x:v>
      </x:c>
      <x:c r="M82" s="44"/>
    </x:row>
    <x:row r="83" ht="34" customHeight="1">
      <x:c r="A83" s="45" t="str">
        <x:v>TOTAL II (BTL)</x:v>
      </x:c>
      <x:c r="B83" s="45"/>
      <x:c r="C83" s="45"/>
      <x:c r="D83" s="45"/>
      <x:c r="E83" s="45"/>
      <x:c r="F83" s="45"/>
      <x:c r="G83" s="45"/>
      <x:c r="H83" s="56"/>
      <x:c r="I83" s="56"/>
      <x:c r="J83" s="56" t="n">
        <x:f>J76+J82</x:f>
        <x:v>12500000</x:v>
      </x:c>
      <x:c r="K83" s="56" t="n">
        <x:f>K76+K82</x:f>
        <x:v>12500000</x:v>
      </x:c>
      <x:c r="L83" s="56" t="n">
        <x:f>L76+L82</x:f>
        <x:v>0</x:v>
      </x:c>
      <x:c r="M83" s="45"/>
    </x:row>
    <x:row r="84" ht="34" customHeight="1">
      <x:c r="A84" s="45" t="str">
        <x:v>TOTAL BIAYA (I + II)</x:v>
      </x:c>
      <x:c r="B84" s="45"/>
      <x:c r="C84" s="45"/>
      <x:c r="D84" s="45"/>
      <x:c r="E84" s="45"/>
      <x:c r="F84" s="45"/>
      <x:c r="G84" s="45"/>
      <x:c r="H84" s="56"/>
      <x:c r="I84" s="56"/>
      <x:c r="J84" s="56" t="n">
        <x:f>J68+J83</x:f>
        <x:v>250000000</x:v>
      </x:c>
      <x:c r="K84" s="56" t="n">
        <x:f>K68+K83</x:f>
        <x:v>250000000</x:v>
      </x:c>
      <x:c r="L84" s="56" t="n">
        <x:f>L68+L83</x:f>
        <x:v>0</x:v>
      </x:c>
      <x:c r="M84" s="45"/>
    </x:row>
  </x:sheetData>
  <x:mergeCells>
    <x:mergeCell ref="A1:J1"/>
    <x:mergeCell ref="K1:M1"/>
    <x:mergeCell ref="A3:C3"/>
    <x:mergeCell ref="E3:M3"/>
    <x:mergeCell ref="A4:C4"/>
    <x:mergeCell ref="E4:M4"/>
    <x:mergeCell ref="A5:C5"/>
    <x:mergeCell ref="E5:M5"/>
    <x:mergeCell ref="A6:C6"/>
    <x:mergeCell ref="E6:M6"/>
    <x:mergeCell ref="A7:C7"/>
    <x:mergeCell ref="E7:M7"/>
    <x:mergeCell ref="A8:C8"/>
    <x:mergeCell ref="E8:M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5" t="str">
        <x:v>RINCIAN USULAN RAB – TAHUN III TIDAK DIUSULKAN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>
      <x:c r="A3" s="64" t="str">
        <x:v>Kegiatan diusulkan selama dua tahun. Nilai Tahun III adalah Rp0.</x:v>
      </x:c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</x:row>
    <x:row r="4">
      <x:c r="A4" s="64"/>
      <x:c r="B4" s="64"/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</x:row>
    <x:row r="5">
      <x:c r="A5" s="64"/>
      <x:c r="B5" s="64"/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4"/>
    </x:row>
    <x:row r="6">
      <x:c r="A6" s="64"/>
      <x:c r="B6" s="64"/>
      <x:c r="C6" s="64"/>
      <x:c r="D6" s="64"/>
      <x:c r="E6" s="64"/>
      <x:c r="F6" s="64"/>
      <x:c r="G6" s="64"/>
      <x:c r="H6" s="64"/>
      <x:c r="I6" s="64"/>
      <x:c r="J6" s="64"/>
      <x:c r="K6" s="64"/>
      <x:c r="L6" s="64"/>
      <x:c r="M6" s="64"/>
    </x:row>
  </x:sheetData>
  <x:mergeCells>
    <x:mergeCell ref="A1:M1"/>
    <x:mergeCell ref="A3:M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18" hidden="0" customWidth="1"/>
    <x:col min="4" max="4" width="12" hidden="0" customWidth="1"/>
    <x:col min="5" max="5" width="18" hidden="0" customWidth="1"/>
    <x:col min="6" max="6" width="12" hidden="0" customWidth="1"/>
    <x:col min="7" max="7" width="20" hidden="0" customWidth="1"/>
    <x:col min="8" max="8" width="58" hidden="0" customWidth="1"/>
  </x:cols>
  <x:sheetData>
    <x:row r="1">
      <x:c r="A1" s="40" t="str">
        <x:v>REKAP USULAN RAB RIIM KOMPETISI 2026</x:v>
      </x:c>
      <x:c r="B1" s="40"/>
      <x:c r="C1" s="40"/>
      <x:c r="D1" s="40"/>
      <x:c r="E1" s="40"/>
      <x:c r="F1" s="40"/>
      <x:c r="G1" s="40"/>
      <x:c r="H1" s="40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41" t="str">
        <x:v>Judul</x:v>
      </x:c>
      <x:c r="B3" s="41"/>
      <x:c r="C3" s="12" t="str">
        <x:v>Pengembangan Smart Charging Hub Solar Hybrid PV–BESS–Grid Berbasis AI dan IoT-Edge dengan EMS Adaptif, Mode Islanding, dan Layanan Digital</x:v>
      </x:c>
      <x:c r="D3" s="12"/>
      <x:c r="E3" s="12"/>
      <x:c r="F3" s="12"/>
      <x:c r="G3" s="12"/>
      <x:c r="H3" s="12"/>
    </x:row>
    <x:row r="4">
      <x:c r="A4" s="41" t="str">
        <x:v>Ketua</x:v>
      </x:c>
      <x:c r="B4" s="41"/>
      <x:c r="C4" s="12" t="str">
        <x:v>Prof. Dr. Subiyanto, S.T., M.T.</x:v>
      </x:c>
      <x:c r="D4" s="12"/>
      <x:c r="E4" s="12"/>
      <x:c r="F4" s="12"/>
      <x:c r="G4" s="12"/>
      <x:c r="H4" s="12"/>
    </x:row>
    <x:row r="5">
      <x:c r="A5" s="41" t="str">
        <x:v>Institusi</x:v>
      </x:c>
      <x:c r="B5" s="41"/>
      <x:c r="C5" s="12" t="str">
        <x:v>Universitas Negeri Semarang</x:v>
      </x:c>
      <x:c r="D5" s="12"/>
      <x:c r="E5" s="12"/>
      <x:c r="F5" s="12"/>
      <x:c r="G5" s="12"/>
      <x:c r="H5" s="12"/>
    </x:row>
    <x:row r="6">
      <x:c r="A6" s="41" t="str">
        <x:v>Mitra</x:v>
      </x:c>
      <x:c r="B6" s="41"/>
      <x:c r="C6" s="12" t="str">
        <x:v>PT. Arunika Sains Teknologi</x:v>
      </x:c>
      <x:c r="D6" s="12"/>
      <x:c r="E6" s="12"/>
      <x:c r="F6" s="12"/>
      <x:c r="G6" s="12"/>
      <x:c r="H6" s="12"/>
    </x:row>
    <x:row r="7">
      <x:c r="A7" s="41" t="str">
        <x:v>Tim</x:v>
      </x:c>
      <x:c r="B7" s="41"/>
      <x:c r="C7" s="12" t="str">
        <x:v>1 ketua + 4 anggota; honorarium 4 bulan per tahun</x:v>
      </x:c>
      <x:c r="D7" s="12"/>
      <x:c r="E7" s="12"/>
      <x:c r="F7" s="12"/>
      <x:c r="G7" s="12"/>
      <x:c r="H7" s="12"/>
    </x:row>
    <x:row r="8">
      <x:c r="A8" s="12"/>
      <x:c r="B8" s="12"/>
      <x:c r="C8" s="12"/>
      <x:c r="D8" s="12"/>
      <x:c r="E8" s="12"/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8" t="str">
        <x:v>No.</x:v>
      </x:c>
      <x:c r="B10" s="18" t="str">
        <x:v>Komponen</x:v>
      </x:c>
      <x:c r="C10" s="18" t="str">
        <x:v>Tahun I</x:v>
      </x:c>
      <x:c r="D10" s="18" t="str">
        <x:v>%</x:v>
      </x:c>
      <x:c r="E10" s="18" t="str">
        <x:v>Tahun II</x:v>
      </x:c>
      <x:c r="F10" s="18" t="str">
        <x:v>%</x:v>
      </x:c>
      <x:c r="G10" s="18" t="str">
        <x:v>Total 2 Tahun</x:v>
      </x:c>
      <x:c r="H10" s="18" t="str">
        <x:v>Catatan</x:v>
      </x:c>
    </x:row>
    <x:row r="11">
      <x:c r="A11" s="12" t="n">
        <x:v>1</x:v>
      </x:c>
      <x:c r="B11" s="12" t="str">
        <x:v>Biaya Langsung Personil</x:v>
      </x:c>
      <x:c r="C11" s="54" t="n">
        <x:f>'Rincian (th1)'!J18</x:f>
        <x:v>52800000</x:v>
      </x:c>
      <x:c r="D11" s="76" t="n">
        <x:f>C11/C$14</x:f>
        <x:v>0.2112</x:v>
      </x:c>
      <x:c r="E11" s="54" t="n">
        <x:f>'Rincian (th2)'!J18</x:f>
        <x:v>52800000</x:v>
      </x:c>
      <x:c r="F11" s="76" t="n">
        <x:f>E11/E$14</x:f>
        <x:v>0.2112</x:v>
      </x:c>
      <x:c r="G11" s="54" t="n">
        <x:f>C11+E11</x:f>
        <x:v>105600000</x:v>
      </x:c>
      <x:c r="H11" s="12" t="str">
        <x:v>Honor penuh 4 bulan untuk 1 ketua + 4 anggota</x:v>
      </x:c>
    </x:row>
    <x:row r="12">
      <x:c r="A12" s="12" t="n">
        <x:v>2</x:v>
      </x:c>
      <x:c r="B12" s="12" t="str">
        <x:v>Biaya Langsung Nonpersonil</x:v>
      </x:c>
      <x:c r="C12" s="54" t="n">
        <x:f>'Rincian (th1)'!J67</x:f>
        <x:v>184700000</x:v>
      </x:c>
      <x:c r="D12" s="76" t="n">
        <x:f>C12/C$14</x:f>
        <x:v>0.7388</x:v>
      </x:c>
      <x:c r="E12" s="54" t="n">
        <x:f>'Rincian (th2)'!J67</x:f>
        <x:v>184700000</x:v>
      </x:c>
      <x:c r="F12" s="76" t="n">
        <x:f>E12/E$14</x:f>
        <x:v>0.7388</x:v>
      </x:c>
      <x:c r="G12" s="54" t="n">
        <x:f>C12+E12</x:f>
        <x:v>369400000</x:v>
      </x:c>
      <x:c r="H12" s="12" t="str">
        <x:v>Barang fisik diperinci; belanja modal tetap ≤10% per tahun</x:v>
      </x:c>
    </x:row>
    <x:row r="13">
      <x:c r="A13" s="12" t="n">
        <x:v>3</x:v>
      </x:c>
      <x:c r="B13" s="12" t="str">
        <x:v>Biaya Tidak Langsung</x:v>
      </x:c>
      <x:c r="C13" s="54" t="n">
        <x:f>'Rincian (th1)'!J83</x:f>
        <x:v>12500000</x:v>
      </x:c>
      <x:c r="D13" s="76" t="n">
        <x:f>C13/C$14</x:f>
        <x:v>0.05</x:v>
      </x:c>
      <x:c r="E13" s="54" t="n">
        <x:f>'Rincian (th2)'!J83</x:f>
        <x:v>12500000</x:v>
      </x:c>
      <x:c r="F13" s="76" t="n">
        <x:f>E13/E$14</x:f>
        <x:v>0.05</x:v>
      </x:c>
      <x:c r="G13" s="54" t="n">
        <x:f>C13+E13</x:f>
        <x:v>25000000</x:v>
      </x:c>
      <x:c r="H13" s="12" t="str">
        <x:v>Khusus monitoring dan evaluasi internal</x:v>
      </x:c>
    </x:row>
    <x:row r="14">
      <x:c r="A14" s="45"/>
      <x:c r="B14" s="45" t="str">
        <x:v>TOTAL</x:v>
      </x:c>
      <x:c r="C14" s="56" t="n">
        <x:f>'Rincian (th1)'!J84</x:f>
        <x:v>250000000</x:v>
      </x:c>
      <x:c r="D14" s="77" t="n">
        <x:v>1</x:v>
      </x:c>
      <x:c r="E14" s="56" t="n">
        <x:f>'Rincian (th2)'!J84</x:f>
        <x:v>250000000</x:v>
      </x:c>
      <x:c r="F14" s="77" t="n">
        <x:v>1</x:v>
      </x:c>
      <x:c r="G14" s="56" t="n">
        <x:f>C14+E14</x:f>
        <x:v>500000000</x:v>
      </x:c>
      <x:c r="H14" s="45" t="str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</x:sheetData>
  <x:mergeCells>
    <x:mergeCell ref="A1:H1"/>
    <x:mergeCell ref="A3:B3"/>
    <x:mergeCell ref="C3:H3"/>
    <x:mergeCell ref="A4:B4"/>
    <x:mergeCell ref="C4:H4"/>
    <x:mergeCell ref="A5:B5"/>
    <x:mergeCell ref="C5:H5"/>
    <x:mergeCell ref="A6:B6"/>
    <x:mergeCell ref="C6:H6"/>
    <x:mergeCell ref="A7:B7"/>
    <x:mergeCell ref="C7:H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5" hidden="0" customWidth="1"/>
    <x:col min="4" max="4" width="39" hidden="0" customWidth="1"/>
    <x:col min="5" max="5" width="9" hidden="0" customWidth="1"/>
    <x:col min="6" max="6" width="12" hidden="0" customWidth="1"/>
    <x:col min="7" max="7" width="17" hidden="0" customWidth="1"/>
    <x:col min="8" max="8" width="18" hidden="0" customWidth="1"/>
    <x:col min="9" max="9" width="48" hidden="0" customWidth="1"/>
    <x:col min="10" max="10" width="45" hidden="0" customWidth="1"/>
  </x:cols>
  <x:sheetData>
    <x:row r="1">
      <x:c r="A1" s="5" t="str">
        <x:v>DAFTAR BARANG DAN KOMPONEN FISIK YANG DIBELI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8" t="str">
        <x:v>No.</x:v>
      </x:c>
      <x:c r="B3" s="18" t="str">
        <x:v>Tahun</x:v>
      </x:c>
      <x:c r="C3" s="18" t="str">
        <x:v>Klasifikasi</x:v>
      </x:c>
      <x:c r="D3" s="18" t="str">
        <x:v>Barang/Komponen</x:v>
      </x:c>
      <x:c r="E3" s="18" t="str">
        <x:v>Qty</x:v>
      </x:c>
      <x:c r="F3" s="18" t="str">
        <x:v>Satuan</x:v>
      </x:c>
      <x:c r="G3" s="18" t="str">
        <x:v>Harga Satuan</x:v>
      </x:c>
      <x:c r="H3" s="18" t="str">
        <x:v>Total</x:v>
      </x:c>
      <x:c r="I3" s="18" t="str">
        <x:v>Penggunaan</x:v>
      </x:c>
      <x:c r="J3" s="18" t="str">
        <x:v>Pencatatan</x:v>
      </x:c>
    </x:row>
    <x:row r="4">
      <x:c r="A4" s="12" t="n">
        <x:v>1</x:v>
      </x:c>
      <x:c r="B4" s="12" t="str">
        <x:v>Tahun I</x:v>
      </x:c>
      <x:c r="C4" s="12" t="str">
        <x:v>Belanja modal</x:v>
      </x:c>
      <x:c r="D4" s="12" t="str">
        <x:v>Industrial IoT gateway</x:v>
      </x:c>
      <x:c r="E4" s="12" t="n">
        <x:v>2</x:v>
      </x:c>
      <x:c r="F4" s="12" t="str">
        <x:v>unit</x:v>
      </x:c>
      <x:c r="G4" s="54" t="n">
        <x:v>2000000</x:v>
      </x:c>
      <x:c r="H4" s="54" t="n">
        <x:v>4000000</x:v>
      </x:c>
      <x:c r="I4" s="12" t="str">
        <x:v>Akuisisi OCPP/Modbus/MQTT, buffering dan watchdog</x:v>
      </x:c>
      <x:c r="J4" s="12" t="str">
        <x:v>Dicatat sebagai aset institusi</x:v>
      </x:c>
    </x:row>
    <x:row r="5">
      <x:c r="A5" s="12" t="n">
        <x:v>2</x:v>
      </x:c>
      <x:c r="B5" s="12" t="str">
        <x:v>Tahun I</x:v>
      </x:c>
      <x:c r="C5" s="12" t="str">
        <x:v>Belanja modal</x:v>
      </x:c>
      <x:c r="D5" s="12" t="str">
        <x:v>Embedded edge controller</x:v>
      </x:c>
      <x:c r="E5" s="12" t="n">
        <x:v>2</x:v>
      </x:c>
      <x:c r="F5" s="12" t="str">
        <x:v>unit</x:v>
      </x:c>
      <x:c r="G5" s="54" t="n">
        <x:v>2500000</x:v>
      </x:c>
      <x:c r="H5" s="54" t="n">
        <x:v>5000000</x:v>
      </x:c>
      <x:c r="I5" s="12" t="str">
        <x:v>Eksekusi lokal EMS, data-quality checking dan fallback</x:v>
      </x:c>
      <x:c r="J5" s="12" t="str">
        <x:v>Dicatat sebagai aset institusi</x:v>
      </x:c>
    </x:row>
    <x:row r="6">
      <x:c r="A6" s="12" t="n">
        <x:v>3</x:v>
      </x:c>
      <x:c r="B6" s="12" t="str">
        <x:v>Tahun I</x:v>
      </x:c>
      <x:c r="C6" s="12" t="str">
        <x:v>Belanja modal</x:v>
      </x:c>
      <x:c r="D6" s="12" t="str">
        <x:v>Energy meter tiga fasa</x:v>
      </x:c>
      <x:c r="E6" s="12" t="n">
        <x:v>2</x:v>
      </x:c>
      <x:c r="F6" s="12" t="str">
        <x:v>unit</x:v>
      </x:c>
      <x:c r="G6" s="54" t="n">
        <x:v>2000000</x:v>
      </x:c>
      <x:c r="H6" s="54" t="n">
        <x:v>4000000</x:v>
      </x:c>
      <x:c r="I6" s="12" t="str">
        <x:v>Metering independen daya grid dan charger</x:v>
      </x:c>
      <x:c r="J6" s="12" t="str">
        <x:v>Dicatat sebagai aset institusi</x:v>
      </x:c>
    </x:row>
    <x:row r="7">
      <x:c r="A7" s="12" t="n">
        <x:v>4</x:v>
      </x:c>
      <x:c r="B7" s="12" t="str">
        <x:v>Tahun I</x:v>
      </x:c>
      <x:c r="C7" s="12" t="str">
        <x:v>Belanja modal</x:v>
      </x:c>
      <x:c r="D7" s="12" t="str">
        <x:v>DC energy meter</x:v>
      </x:c>
      <x:c r="E7" s="12" t="n">
        <x:v>2</x:v>
      </x:c>
      <x:c r="F7" s="12" t="str">
        <x:v>unit</x:v>
      </x:c>
      <x:c r="G7" s="54" t="n">
        <x:v>1500000</x:v>
      </x:c>
      <x:c r="H7" s="54" t="n">
        <x:v>3000000</x:v>
      </x:c>
      <x:c r="I7" s="12" t="str">
        <x:v>Pengukuran aliran daya sisi DC PV/BESS</x:v>
      </x:c>
      <x:c r="J7" s="12" t="str">
        <x:v>Dicatat sebagai aset institusi</x:v>
      </x:c>
    </x:row>
    <x:row r="8">
      <x:c r="A8" s="12" t="n">
        <x:v>5</x:v>
      </x:c>
      <x:c r="B8" s="12" t="str">
        <x:v>Tahun I</x:v>
      </x:c>
      <x:c r="C8" s="12" t="str">
        <x:v>Belanja modal</x:v>
      </x:c>
      <x:c r="D8" s="12" t="str">
        <x:v>Managed industrial Ethernet switch</x:v>
      </x:c>
      <x:c r="E8" s="12" t="n">
        <x:v>1</x:v>
      </x:c>
      <x:c r="F8" s="12" t="str">
        <x:v>unit</x:v>
      </x:c>
      <x:c r="G8" s="54" t="n">
        <x:v>2500000</x:v>
      </x:c>
      <x:c r="H8" s="54" t="n">
        <x:v>2500000</x:v>
      </x:c>
      <x:c r="I8" s="12" t="str">
        <x:v>Segmentasi jaringan perangkat OT/IoT</x:v>
      </x:c>
      <x:c r="J8" s="12" t="str">
        <x:v>Dicatat sebagai aset institusi</x:v>
      </x:c>
    </x:row>
    <x:row r="9">
      <x:c r="A9" s="12" t="n">
        <x:v>6</x:v>
      </x:c>
      <x:c r="B9" s="12" t="str">
        <x:v>Tahun I</x:v>
      </x:c>
      <x:c r="C9" s="12" t="str">
        <x:v>Belanja modal</x:v>
      </x:c>
      <x:c r="D9" s="12" t="str">
        <x:v>Industrial 4G router</x:v>
      </x:c>
      <x:c r="E9" s="12" t="n">
        <x:v>1</x:v>
      </x:c>
      <x:c r="F9" s="12" t="str">
        <x:v>unit</x:v>
      </x:c>
      <x:c r="G9" s="54" t="n">
        <x:v>2000000</x:v>
      </x:c>
      <x:c r="H9" s="54" t="n">
        <x:v>2000000</x:v>
      </x:c>
      <x:c r="I9" s="12" t="str">
        <x:v>Konektivitas dan redundansi komunikasi</x:v>
      </x:c>
      <x:c r="J9" s="12" t="str">
        <x:v>Dicatat sebagai aset institusi</x:v>
      </x:c>
    </x:row>
    <x:row r="10">
      <x:c r="A10" s="12" t="n">
        <x:v>7</x:v>
      </x:c>
      <x:c r="B10" s="12" t="str">
        <x:v>Tahun I</x:v>
      </x:c>
      <x:c r="C10" s="12" t="str">
        <x:v>Belanja modal</x:v>
      </x:c>
      <x:c r="D10" s="12" t="str">
        <x:v>NAS/edge storage</x:v>
      </x:c>
      <x:c r="E10" s="12" t="n">
        <x:v>1</x:v>
      </x:c>
      <x:c r="F10" s="12" t="str">
        <x:v>unit</x:v>
      </x:c>
      <x:c r="G10" s="54" t="n">
        <x:v>3000000</x:v>
      </x:c>
      <x:c r="H10" s="54" t="n">
        <x:v>3000000</x:v>
      </x:c>
      <x:c r="I10" s="12" t="str">
        <x:v>Penyimpanan telemetri lokal dan backup</x:v>
      </x:c>
      <x:c r="J10" s="12" t="str">
        <x:v>Dicatat sebagai aset institusi</x:v>
      </x:c>
    </x:row>
    <x:row r="11">
      <x:c r="A11" s="12" t="n">
        <x:v>8</x:v>
      </x:c>
      <x:c r="B11" s="12" t="str">
        <x:v>Tahun I</x:v>
      </x:c>
      <x:c r="C11" s="12" t="str">
        <x:v>Belanja modal</x:v>
      </x:c>
      <x:c r="D11" s="12" t="str">
        <x:v>Portable irradiance-temperature reference meter</x:v>
      </x:c>
      <x:c r="E11" s="12" t="n">
        <x:v>1</x:v>
      </x:c>
      <x:c r="F11" s="12" t="str">
        <x:v>unit</x:v>
      </x:c>
      <x:c r="G11" s="54" t="n">
        <x:v>1500000</x:v>
      </x:c>
      <x:c r="H11" s="54" t="n">
        <x:v>1500000</x:v>
      </x:c>
      <x:c r="I11" s="12" t="str">
        <x:v>Referensi pengukuran sensor PV dan kalibrasi lapangan</x:v>
      </x:c>
      <x:c r="J11" s="12" t="str">
        <x:v>Dicatat sebagai aset institusi</x:v>
      </x:c>
    </x:row>
    <x:row r="12">
      <x:c r="A12" s="12" t="n">
        <x:v>9</x:v>
      </x:c>
      <x:c r="B12" s="12" t="str">
        <x:v>Tahun I</x:v>
      </x:c>
      <x:c r="C12" s="12" t="str">
        <x:v>Bahan/komponen purwarupa</x:v>
      </x:c>
      <x:c r="D12" s="12" t="str">
        <x:v>Set smart socket controller</x:v>
      </x:c>
      <x:c r="E12" s="12" t="n">
        <x:v>8</x:v>
      </x:c>
      <x:c r="F12" s="12" t="str">
        <x:v>set</x:v>
      </x:c>
      <x:c r="G12" s="54" t="n">
        <x:v>600000</x:v>
      </x:c>
      <x:c r="H12" s="54" t="n">
        <x:v>4800000</x:v>
      </x:c>
      <x:c r="I12" s="12" t="str">
        <x:v>ESP32/MCU, relay, CT dan konektor untuk 8 titik mikromobilitas</x:v>
      </x:c>
      <x:c r="J12" s="12" t="str">
        <x:v>Terintegrasi/terpakai dalam purwarupa; sesuai kebijakan institusi</x:v>
      </x:c>
    </x:row>
    <x:row r="13">
      <x:c r="A13" s="12" t="n">
        <x:v>10</x:v>
      </x:c>
      <x:c r="B13" s="12" t="str">
        <x:v>Tahun I</x:v>
      </x:c>
      <x:c r="C13" s="12" t="str">
        <x:v>Bahan/komponen purwarupa</x:v>
      </x:c>
      <x:c r="D13" s="12" t="str">
        <x:v>Current transformer sensor</x:v>
      </x:c>
      <x:c r="E13" s="12" t="n">
        <x:v>12</x:v>
      </x:c>
      <x:c r="F13" s="12" t="str">
        <x:v>unit</x:v>
      </x:c>
      <x:c r="G13" s="54" t="n">
        <x:v>200000</x:v>
      </x:c>
      <x:c r="H13" s="54" t="n">
        <x:v>2400000</x:v>
      </x:c>
      <x:c r="I13" s="12" t="str">
        <x:v>Akuisisi arus pada charger, display dan auxiliary load</x:v>
      </x:c>
      <x:c r="J13" s="12" t="str">
        <x:v>Terintegrasi/terpakai dalam purwarupa; sesuai kebijakan institusi</x:v>
      </x:c>
    </x:row>
    <x:row r="14">
      <x:c r="A14" s="12" t="n">
        <x:v>11</x:v>
      </x:c>
      <x:c r="B14" s="12" t="str">
        <x:v>Tahun I</x:v>
      </x:c>
      <x:c r="C14" s="12" t="str">
        <x:v>Bahan/komponen purwarupa</x:v>
      </x:c>
      <x:c r="D14" s="12" t="str">
        <x:v>Voltage transducer terisolasi</x:v>
      </x:c>
      <x:c r="E14" s="12" t="n">
        <x:v>6</x:v>
      </x:c>
      <x:c r="F14" s="12" t="str">
        <x:v>unit</x:v>
      </x:c>
      <x:c r="G14" s="54" t="n">
        <x:v>250000</x:v>
      </x:c>
      <x:c r="H14" s="54" t="n">
        <x:v>1500000</x:v>
      </x:c>
      <x:c r="I14" s="12" t="str">
        <x:v>Pengukuran tegangan AC/DC dengan isolasi</x:v>
      </x:c>
      <x:c r="J14" s="12" t="str">
        <x:v>Terintegrasi/terpakai dalam purwarupa; sesuai kebijakan institusi</x:v>
      </x:c>
    </x:row>
    <x:row r="15">
      <x:c r="A15" s="12" t="n">
        <x:v>12</x:v>
      </x:c>
      <x:c r="B15" s="12" t="str">
        <x:v>Tahun I</x:v>
      </x:c>
      <x:c r="C15" s="12" t="str">
        <x:v>Bahan/komponen purwarupa</x:v>
      </x:c>
      <x:c r="D15" s="12" t="str">
        <x:v>Sensor temperatur multipoint</x:v>
      </x:c>
      <x:c r="E15" s="12" t="n">
        <x:v>12</x:v>
      </x:c>
      <x:c r="F15" s="12" t="str">
        <x:v>unit</x:v>
      </x:c>
      <x:c r="G15" s="54" t="n">
        <x:v>100000</x:v>
      </x:c>
      <x:c r="H15" s="54" t="n">
        <x:v>1200000</x:v>
      </x:c>
      <x:c r="I15" s="12" t="str">
        <x:v>Monitoring temperatur panel, charger dan enclosure</x:v>
      </x:c>
      <x:c r="J15" s="12" t="str">
        <x:v>Terintegrasi/terpakai dalam purwarupa; sesuai kebijakan institusi</x:v>
      </x:c>
    </x:row>
    <x:row r="16">
      <x:c r="A16" s="12" t="n">
        <x:v>13</x:v>
      </x:c>
      <x:c r="B16" s="12" t="str">
        <x:v>Tahun I</x:v>
      </x:c>
      <x:c r="C16" s="12" t="str">
        <x:v>Bahan/komponen purwarupa</x:v>
      </x:c>
      <x:c r="D16" s="12" t="str">
        <x:v>RS485–Ethernet converter</x:v>
      </x:c>
      <x:c r="E16" s="12" t="n">
        <x:v>5</x:v>
      </x:c>
      <x:c r="F16" s="12" t="str">
        <x:v>unit</x:v>
      </x:c>
      <x:c r="G16" s="54" t="n">
        <x:v>400000</x:v>
      </x:c>
      <x:c r="H16" s="54" t="n">
        <x:v>2000000</x:v>
      </x:c>
      <x:c r="I16" s="12" t="str">
        <x:v>Integrasi meter dan inverter ke gateway</x:v>
      </x:c>
      <x:c r="J16" s="12" t="str">
        <x:v>Terintegrasi/terpakai dalam purwarupa; sesuai kebijakan institusi</x:v>
      </x:c>
    </x:row>
    <x:row r="17">
      <x:c r="A17" s="12" t="n">
        <x:v>14</x:v>
      </x:c>
      <x:c r="B17" s="12" t="str">
        <x:v>Tahun I</x:v>
      </x:c>
      <x:c r="C17" s="12" t="str">
        <x:v>Bahan/komponen purwarupa</x:v>
      </x:c>
      <x:c r="D17" s="12" t="str">
        <x:v>CAN–RS485/CAN–Ethernet converter</x:v>
      </x:c>
      <x:c r="E17" s="12" t="n">
        <x:v>2</x:v>
      </x:c>
      <x:c r="F17" s="12" t="str">
        <x:v>unit</x:v>
      </x:c>
      <x:c r="G17" s="54" t="n">
        <x:v>750000</x:v>
      </x:c>
      <x:c r="H17" s="54" t="n">
        <x:v>1500000</x:v>
      </x:c>
      <x:c r="I17" s="12" t="str">
        <x:v>Antarmuka BMS dan controller</x:v>
      </x:c>
      <x:c r="J17" s="12" t="str">
        <x:v>Terintegrasi/terpakai dalam purwarupa; sesuai kebijakan institusi</x:v>
      </x:c>
    </x:row>
    <x:row r="18">
      <x:c r="A18" s="12" t="n">
        <x:v>15</x:v>
      </x:c>
      <x:c r="B18" s="12" t="str">
        <x:v>Tahun I</x:v>
      </x:c>
      <x:c r="C18" s="12" t="str">
        <x:v>Bahan/komponen purwarupa</x:v>
      </x:c>
      <x:c r="D18" s="12" t="str">
        <x:v>Contactor dan solid-state relay</x:v>
      </x:c>
      <x:c r="E18" s="12" t="n">
        <x:v>8</x:v>
      </x:c>
      <x:c r="F18" s="12" t="str">
        <x:v>set</x:v>
      </x:c>
      <x:c r="G18" s="54" t="n">
        <x:v>500000</x:v>
      </x:c>
      <x:c r="H18" s="54" t="n">
        <x:v>4000000</x:v>
      </x:c>
      <x:c r="I18" s="12" t="str">
        <x:v>Switching beban dan load prioritization</x:v>
      </x:c>
      <x:c r="J18" s="12" t="str">
        <x:v>Terintegrasi/terpakai dalam purwarupa; sesuai kebijakan institusi</x:v>
      </x:c>
    </x:row>
    <x:row r="19">
      <x:c r="A19" s="12" t="n">
        <x:v>16</x:v>
      </x:c>
      <x:c r="B19" s="12" t="str">
        <x:v>Tahun I</x:v>
      </x:c>
      <x:c r="C19" s="12" t="str">
        <x:v>Bahan/komponen purwarupa</x:v>
      </x:c>
      <x:c r="D19" s="12" t="str">
        <x:v>Paket MCB/MCCB/SPD/fuse</x:v>
      </x:c>
      <x:c r="E19" s="12" t="n">
        <x:v>1</x:v>
      </x:c>
      <x:c r="F19" s="12" t="str">
        <x:v>paket</x:v>
      </x:c>
      <x:c r="G19" s="54" t="n">
        <x:v>6000000</x:v>
      </x:c>
      <x:c r="H19" s="54" t="n">
        <x:v>6000000</x:v>
      </x:c>
      <x:c r="I19" s="12" t="str">
        <x:v>Proteksi arus lebih, hubung singkat dan surge</x:v>
      </x:c>
      <x:c r="J19" s="12" t="str">
        <x:v>Terintegrasi/terpakai dalam purwarupa; sesuai kebijakan institusi</x:v>
      </x:c>
    </x:row>
    <x:row r="20">
      <x:c r="A20" s="12" t="n">
        <x:v>17</x:v>
      </x:c>
      <x:c r="B20" s="12" t="str">
        <x:v>Tahun I</x:v>
      </x:c>
      <x:c r="C20" s="12" t="str">
        <x:v>Bahan/komponen purwarupa</x:v>
      </x:c>
      <x:c r="D20" s="12" t="str">
        <x:v>Emergency-stop module</x:v>
      </x:c>
      <x:c r="E20" s="12" t="n">
        <x:v>5</x:v>
      </x:c>
      <x:c r="F20" s="12" t="str">
        <x:v>unit</x:v>
      </x:c>
      <x:c r="G20" s="54" t="n">
        <x:v>300000</x:v>
      </x:c>
      <x:c r="H20" s="54" t="n">
        <x:v>1500000</x:v>
      </x:c>
      <x:c r="I20" s="12" t="str">
        <x:v>Pemutusan darurat charger dan auxiliary load</x:v>
      </x:c>
      <x:c r="J20" s="12" t="str">
        <x:v>Terintegrasi/terpakai dalam purwarupa; sesuai kebijakan institusi</x:v>
      </x:c>
    </x:row>
    <x:row r="21">
      <x:c r="A21" s="12" t="n">
        <x:v>18</x:v>
      </x:c>
      <x:c r="B21" s="12" t="str">
        <x:v>Tahun I</x:v>
      </x:c>
      <x:c r="C21" s="12" t="str">
        <x:v>Bahan/komponen purwarupa</x:v>
      </x:c>
      <x:c r="D21" s="12" t="str">
        <x:v>Enclosure IP65</x:v>
      </x:c>
      <x:c r="E21" s="12" t="n">
        <x:v>5</x:v>
      </x:c>
      <x:c r="F21" s="12" t="str">
        <x:v>unit</x:v>
      </x:c>
      <x:c r="G21" s="54" t="n">
        <x:v>600000</x:v>
      </x:c>
      <x:c r="H21" s="54" t="n">
        <x:v>3000000</x:v>
      </x:c>
      <x:c r="I21" s="12" t="str">
        <x:v>Pelindung node kontrol dan metering</x:v>
      </x:c>
      <x:c r="J21" s="12" t="str">
        <x:v>Terintegrasi/terpakai dalam purwarupa; sesuai kebijakan institusi</x:v>
      </x:c>
    </x:row>
    <x:row r="22">
      <x:c r="A22" s="12" t="n">
        <x:v>19</x:v>
      </x:c>
      <x:c r="B22" s="12" t="str">
        <x:v>Tahun I</x:v>
      </x:c>
      <x:c r="C22" s="12" t="str">
        <x:v>Bahan/komponen purwarupa</x:v>
      </x:c>
      <x:c r="D22" s="12" t="str">
        <x:v>Terminal, cable gland dan wiring control</x:v>
      </x:c>
      <x:c r="E22" s="12" t="n">
        <x:v>1</x:v>
      </x:c>
      <x:c r="F22" s="12" t="str">
        <x:v>lot</x:v>
      </x:c>
      <x:c r="G22" s="54" t="n">
        <x:v>4000000</x:v>
      </x:c>
      <x:c r="H22" s="54" t="n">
        <x:v>4000000</x:v>
      </x:c>
      <x:c r="I22" s="12" t="str">
        <x:v>Perakitan panel dan koneksi sensor</x:v>
      </x:c>
      <x:c r="J22" s="12" t="str">
        <x:v>Terintegrasi/terpakai dalam purwarupa; sesuai kebijakan institusi</x:v>
      </x:c>
    </x:row>
    <x:row r="23">
      <x:c r="A23" s="12" t="n">
        <x:v>20</x:v>
      </x:c>
      <x:c r="B23" s="12" t="str">
        <x:v>Tahun I</x:v>
      </x:c>
      <x:c r="C23" s="12" t="str">
        <x:v>Bahan/komponen purwarupa</x:v>
      </x:c>
      <x:c r="D23" s="12" t="str">
        <x:v>PCB, protoboard dan komponen elektronik</x:v>
      </x:c>
      <x:c r="E23" s="12" t="n">
        <x:v>1</x:v>
      </x:c>
      <x:c r="F23" s="12" t="str">
        <x:v>lot</x:v>
      </x:c>
      <x:c r="G23" s="54" t="n">
        <x:v>4000000</x:v>
      </x:c>
      <x:c r="H23" s="54" t="n">
        <x:v>4000000</x:v>
      </x:c>
      <x:c r="I23" s="12" t="str">
        <x:v>Iterasi node sensor, interface dan firmware</x:v>
      </x:c>
      <x:c r="J23" s="12" t="str">
        <x:v>Terintegrasi/terpakai dalam purwarupa; sesuai kebijakan institusi</x:v>
      </x:c>
    </x:row>
    <x:row r="24">
      <x:c r="A24" s="12" t="n">
        <x:v>21</x:v>
      </x:c>
      <x:c r="B24" s="12" t="str">
        <x:v>Tahun I</x:v>
      </x:c>
      <x:c r="C24" s="12" t="str">
        <x:v>Bahan/komponen purwarupa</x:v>
      </x:c>
      <x:c r="D24" s="12" t="str">
        <x:v>RFID/NFC reader</x:v>
      </x:c>
      <x:c r="E24" s="12" t="n">
        <x:v>5</x:v>
      </x:c>
      <x:c r="F24" s="12" t="str">
        <x:v>unit</x:v>
      </x:c>
      <x:c r="G24" s="54" t="n">
        <x:v>300000</x:v>
      </x:c>
      <x:c r="H24" s="54" t="n">
        <x:v>1500000</x:v>
      </x:c>
      <x:c r="I24" s="12" t="str">
        <x:v>Autentikasi pengguna dan uji akses charger</x:v>
      </x:c>
      <x:c r="J24" s="12" t="str">
        <x:v>Terintegrasi/terpakai dalam purwarupa; sesuai kebijakan institusi</x:v>
      </x:c>
    </x:row>
    <x:row r="25">
      <x:c r="A25" s="12" t="n">
        <x:v>22</x:v>
      </x:c>
      <x:c r="B25" s="12" t="str">
        <x:v>Tahun I</x:v>
      </x:c>
      <x:c r="C25" s="12" t="str">
        <x:v>Bahan/komponen purwarupa</x:v>
      </x:c>
      <x:c r="D25" s="12" t="str">
        <x:v>Industrial data cable dan connector</x:v>
      </x:c>
      <x:c r="E25" s="12" t="n">
        <x:v>1</x:v>
      </x:c>
      <x:c r="F25" s="12" t="str">
        <x:v>lot</x:v>
      </x:c>
      <x:c r="G25" s="54" t="n">
        <x:v>2600000</x:v>
      </x:c>
      <x:c r="H25" s="54" t="n">
        <x:v>2600000</x:v>
      </x:c>
      <x:c r="I25" s="12" t="str">
        <x:v>Kabel RS485/CAN/Ethernet serta konektor industri</x:v>
      </x:c>
      <x:c r="J25" s="12" t="str">
        <x:v>Terintegrasi/terpakai dalam purwarupa; sesuai kebijakan institusi</x:v>
      </x:c>
    </x:row>
    <x:row r="26">
      <x:c r="A26" s="12" t="n">
        <x:v>23</x:v>
      </x:c>
      <x:c r="B26" s="12" t="str">
        <x:v>Tahun II</x:v>
      </x:c>
      <x:c r="C26" s="12" t="str">
        <x:v>Belanja modal</x:v>
      </x:c>
      <x:c r="D26" s="12" t="str">
        <x:v>External BMS/energy storage controller</x:v>
      </x:c>
      <x:c r="E26" s="12" t="n">
        <x:v>1</x:v>
      </x:c>
      <x:c r="F26" s="12" t="str">
        <x:v>unit</x:v>
      </x:c>
      <x:c r="G26" s="54" t="n">
        <x:v>3500000</x:v>
      </x:c>
      <x:c r="H26" s="54" t="n">
        <x:v>3500000</x:v>
      </x:c>
      <x:c r="I26" s="12" t="str">
        <x:v>Monitoring sel, balancing, proteksi termal dan komunikasi CAN/RS485</x:v>
      </x:c>
      <x:c r="J26" s="12" t="str">
        <x:v>Dicatat sebagai aset institusi</x:v>
      </x:c>
    </x:row>
    <x:row r="27">
      <x:c r="A27" s="12" t="n">
        <x:v>24</x:v>
      </x:c>
      <x:c r="B27" s="12" t="str">
        <x:v>Tahun II</x:v>
      </x:c>
      <x:c r="C27" s="12" t="str">
        <x:v>Belanja modal</x:v>
      </x:c>
      <x:c r="D27" s="12" t="str">
        <x:v>Portable data logger</x:v>
      </x:c>
      <x:c r="E27" s="12" t="n">
        <x:v>1</x:v>
      </x:c>
      <x:c r="F27" s="12" t="str">
        <x:v>unit</x:v>
      </x:c>
      <x:c r="G27" s="54" t="n">
        <x:v>4000000</x:v>
      </x:c>
      <x:c r="H27" s="54" t="n">
        <x:v>4000000</x:v>
      </x:c>
      <x:c r="I27" s="12" t="str">
        <x:v>Akuisisi sinkron data PV–BESS–Grid–charger</x:v>
      </x:c>
      <x:c r="J27" s="12" t="str">
        <x:v>Dicatat sebagai aset institusi</x:v>
      </x:c>
    </x:row>
    <x:row r="28">
      <x:c r="A28" s="12" t="n">
        <x:v>25</x:v>
      </x:c>
      <x:c r="B28" s="12" t="str">
        <x:v>Tahun II</x:v>
      </x:c>
      <x:c r="C28" s="12" t="str">
        <x:v>Belanja modal</x:v>
      </x:c>
      <x:c r="D28" s="12" t="str">
        <x:v>Reference energy meter</x:v>
      </x:c>
      <x:c r="E28" s="12" t="n">
        <x:v>1</x:v>
      </x:c>
      <x:c r="F28" s="12" t="str">
        <x:v>unit</x:v>
      </x:c>
      <x:c r="G28" s="54" t="n">
        <x:v>5000000</x:v>
      </x:c>
      <x:c r="H28" s="54" t="n">
        <x:v>5000000</x:v>
      </x:c>
      <x:c r="I28" s="12" t="str">
        <x:v>Validasi efisiensi dan audit energi lapangan</x:v>
      </x:c>
      <x:c r="J28" s="12" t="str">
        <x:v>Dicatat sebagai aset institusi</x:v>
      </x:c>
    </x:row>
    <x:row r="29">
      <x:c r="A29" s="12" t="n">
        <x:v>26</x:v>
      </x:c>
      <x:c r="B29" s="12" t="str">
        <x:v>Tahun II</x:v>
      </x:c>
      <x:c r="C29" s="12" t="str">
        <x:v>Belanja modal</x:v>
      </x:c>
      <x:c r="D29" s="12" t="str">
        <x:v>Redundant industrial IoT gateway</x:v>
      </x:c>
      <x:c r="E29" s="12" t="n">
        <x:v>1</x:v>
      </x:c>
      <x:c r="F29" s="12" t="str">
        <x:v>unit</x:v>
      </x:c>
      <x:c r="G29" s="54" t="n">
        <x:v>4000000</x:v>
      </x:c>
      <x:c r="H29" s="54" t="n">
        <x:v>4000000</x:v>
      </x:c>
      <x:c r="I29" s="12" t="str">
        <x:v>Failover komunikasi dan store-and-forward</x:v>
      </x:c>
      <x:c r="J29" s="12" t="str">
        <x:v>Dicatat sebagai aset institusi</x:v>
      </x:c>
    </x:row>
    <x:row r="30">
      <x:c r="A30" s="12" t="n">
        <x:v>27</x:v>
      </x:c>
      <x:c r="B30" s="12" t="str">
        <x:v>Tahun II</x:v>
      </x:c>
      <x:c r="C30" s="12" t="str">
        <x:v>Belanja modal</x:v>
      </x:c>
      <x:c r="D30" s="12" t="str">
        <x:v>Insulation monitoring device</x:v>
      </x:c>
      <x:c r="E30" s="12" t="n">
        <x:v>1</x:v>
      </x:c>
      <x:c r="F30" s="12" t="str">
        <x:v>unit</x:v>
      </x:c>
      <x:c r="G30" s="54" t="n">
        <x:v>4500000</x:v>
      </x:c>
      <x:c r="H30" s="54" t="n">
        <x:v>4500000</x:v>
      </x:c>
      <x:c r="I30" s="12" t="str">
        <x:v>Deteksi penurunan isolasi pada sisi DC BESS</x:v>
      </x:c>
      <x:c r="J30" s="12" t="str">
        <x:v>Dicatat sebagai aset institusi</x:v>
      </x:c>
    </x:row>
    <x:row r="31">
      <x:c r="A31" s="12" t="n">
        <x:v>28</x:v>
      </x:c>
      <x:c r="B31" s="12" t="str">
        <x:v>Tahun II</x:v>
      </x:c>
      <x:c r="C31" s="12" t="str">
        <x:v>Belanja modal</x:v>
      </x:c>
      <x:c r="D31" s="12" t="str">
        <x:v>Automatic transfer controller</x:v>
      </x:c>
      <x:c r="E31" s="12" t="n">
        <x:v>1</x:v>
      </x:c>
      <x:c r="F31" s="12" t="str">
        <x:v>unit</x:v>
      </x:c>
      <x:c r="G31" s="54" t="n">
        <x:v>2500000</x:v>
      </x:c>
      <x:c r="H31" s="54" t="n">
        <x:v>2500000</x:v>
      </x:c>
      <x:c r="I31" s="12" t="str">
        <x:v>Kendali perpindahan grid/islanding</x:v>
      </x:c>
      <x:c r="J31" s="12" t="str">
        <x:v>Dicatat sebagai aset institusi</x:v>
      </x:c>
    </x:row>
    <x:row r="32">
      <x:c r="A32" s="12" t="n">
        <x:v>29</x:v>
      </x:c>
      <x:c r="B32" s="12" t="str">
        <x:v>Tahun II</x:v>
      </x:c>
      <x:c r="C32" s="12" t="str">
        <x:v>Belanja modal</x:v>
      </x:c>
      <x:c r="D32" s="12" t="str">
        <x:v>Grid/islanding protection relay</x:v>
      </x:c>
      <x:c r="E32" s="12" t="n">
        <x:v>1</x:v>
      </x:c>
      <x:c r="F32" s="12" t="str">
        <x:v>unit</x:v>
      </x:c>
      <x:c r="G32" s="54" t="n">
        <x:v>1500000</x:v>
      </x:c>
      <x:c r="H32" s="54" t="n">
        <x:v>1500000</x:v>
      </x:c>
      <x:c r="I32" s="12" t="str">
        <x:v>Proteksi tegangan/frekuensi dan anti-islanding</x:v>
      </x:c>
      <x:c r="J32" s="12" t="str">
        <x:v>Dicatat sebagai aset institusi</x:v>
      </x:c>
    </x:row>
    <x:row r="33">
      <x:c r="A33" s="12" t="n">
        <x:v>30</x:v>
      </x:c>
      <x:c r="B33" s="12" t="str">
        <x:v>Tahun II</x:v>
      </x:c>
      <x:c r="C33" s="12" t="str">
        <x:v>Bahan/komponen purwarupa</x:v>
      </x:c>
      <x:c r="D33" s="12" t="str">
        <x:v>DC contactor BESS</x:v>
      </x:c>
      <x:c r="E33" s="12" t="n">
        <x:v>4</x:v>
      </x:c>
      <x:c r="F33" s="12" t="str">
        <x:v>unit</x:v>
      </x:c>
      <x:c r="G33" s="54" t="n">
        <x:v>800000</x:v>
      </x:c>
      <x:c r="H33" s="54" t="n">
        <x:v>3200000</x:v>
      </x:c>
      <x:c r="I33" s="12" t="str">
        <x:v>Switching charge/discharge dan isolasi baterai</x:v>
      </x:c>
      <x:c r="J33" s="12" t="str">
        <x:v>Terintegrasi/terpakai dalam purwarupa; sesuai kebijakan institusi</x:v>
      </x:c>
    </x:row>
    <x:row r="34">
      <x:c r="A34" s="12" t="n">
        <x:v>31</x:v>
      </x:c>
      <x:c r="B34" s="12" t="str">
        <x:v>Tahun II</x:v>
      </x:c>
      <x:c r="C34" s="12" t="str">
        <x:v>Bahan/komponen purwarupa</x:v>
      </x:c>
      <x:c r="D34" s="12" t="str">
        <x:v>Pre-charge circuit</x:v>
      </x:c>
      <x:c r="E34" s="12" t="n">
        <x:v>4</x:v>
      </x:c>
      <x:c r="F34" s="12" t="str">
        <x:v>set</x:v>
      </x:c>
      <x:c r="G34" s="54" t="n">
        <x:v>500000</x:v>
      </x:c>
      <x:c r="H34" s="54" t="n">
        <x:v>2000000</x:v>
      </x:c>
      <x:c r="I34" s="12" t="str">
        <x:v>Pembatas arus inrush DC-link</x:v>
      </x:c>
      <x:c r="J34" s="12" t="str">
        <x:v>Terintegrasi/terpakai dalam purwarupa; sesuai kebijakan institusi</x:v>
      </x:c>
    </x:row>
    <x:row r="35">
      <x:c r="A35" s="12" t="n">
        <x:v>32</x:v>
      </x:c>
      <x:c r="B35" s="12" t="str">
        <x:v>Tahun II</x:v>
      </x:c>
      <x:c r="C35" s="12" t="str">
        <x:v>Bahan/komponen purwarupa</x:v>
      </x:c>
      <x:c r="D35" s="12" t="str">
        <x:v>DC fuse dan fuse holder</x:v>
      </x:c>
      <x:c r="E35" s="12" t="n">
        <x:v>6</x:v>
      </x:c>
      <x:c r="F35" s="12" t="str">
        <x:v>set</x:v>
      </x:c>
      <x:c r="G35" s="54" t="n">
        <x:v>300000</x:v>
      </x:c>
      <x:c r="H35" s="54" t="n">
        <x:v>1800000</x:v>
      </x:c>
      <x:c r="I35" s="12" t="str">
        <x:v>Proteksi arus lebih string/rack baterai</x:v>
      </x:c>
      <x:c r="J35" s="12" t="str">
        <x:v>Terintegrasi/terpakai dalam purwarupa; sesuai kebijakan institusi</x:v>
      </x:c>
    </x:row>
    <x:row r="36">
      <x:c r="A36" s="12" t="n">
        <x:v>33</x:v>
      </x:c>
      <x:c r="B36" s="12" t="str">
        <x:v>Tahun II</x:v>
      </x:c>
      <x:c r="C36" s="12" t="str">
        <x:v>Bahan/komponen purwarupa</x:v>
      </x:c>
      <x:c r="D36" s="12" t="str">
        <x:v>DC breaker</x:v>
      </x:c>
      <x:c r="E36" s="12" t="n">
        <x:v>2</x:v>
      </x:c>
      <x:c r="F36" s="12" t="str">
        <x:v>unit</x:v>
      </x:c>
      <x:c r="G36" s="54" t="n">
        <x:v>1200000</x:v>
      </x:c>
      <x:c r="H36" s="54" t="n">
        <x:v>2400000</x:v>
      </x:c>
      <x:c r="I36" s="12" t="str">
        <x:v>Isolasi dan proteksi rangkaian BESS</x:v>
      </x:c>
      <x:c r="J36" s="12" t="str">
        <x:v>Terintegrasi/terpakai dalam purwarupa; sesuai kebijakan institusi</x:v>
      </x:c>
    </x:row>
    <x:row r="37">
      <x:c r="A37" s="12" t="n">
        <x:v>34</x:v>
      </x:c>
      <x:c r="B37" s="12" t="str">
        <x:v>Tahun II</x:v>
      </x:c>
      <x:c r="C37" s="12" t="str">
        <x:v>Bahan/komponen purwarupa</x:v>
      </x:c>
      <x:c r="D37" s="12" t="str">
        <x:v>Battery cable harness dan connector</x:v>
      </x:c>
      <x:c r="E37" s="12" t="n">
        <x:v>1</x:v>
      </x:c>
      <x:c r="F37" s="12" t="str">
        <x:v>lot</x:v>
      </x:c>
      <x:c r="G37" s="54" t="n">
        <x:v>4000000</x:v>
      </x:c>
      <x:c r="H37" s="54" t="n">
        <x:v>4000000</x:v>
      </x:c>
      <x:c r="I37" s="12" t="str">
        <x:v>Interkoneksi rack, BMS dan inverter</x:v>
      </x:c>
      <x:c r="J37" s="12" t="str">
        <x:v>Terintegrasi/terpakai dalam purwarupa; sesuai kebijakan institusi</x:v>
      </x:c>
    </x:row>
    <x:row r="38">
      <x:c r="A38" s="12" t="n">
        <x:v>35</x:v>
      </x:c>
      <x:c r="B38" s="12" t="str">
        <x:v>Tahun II</x:v>
      </x:c>
      <x:c r="C38" s="12" t="str">
        <x:v>Bahan/komponen purwarupa</x:v>
      </x:c>
      <x:c r="D38" s="12" t="str">
        <x:v>Sensor temperatur baterai</x:v>
      </x:c>
      <x:c r="E38" s="12" t="n">
        <x:v>16</x:v>
      </x:c>
      <x:c r="F38" s="12" t="str">
        <x:v>unit</x:v>
      </x:c>
      <x:c r="G38" s="54" t="n">
        <x:v>100000</x:v>
      </x:c>
      <x:c r="H38" s="54" t="n">
        <x:v>1600000</x:v>
      </x:c>
      <x:c r="I38" s="12" t="str">
        <x:v>Monitoring multipoint rack dan enclosure</x:v>
      </x:c>
      <x:c r="J38" s="12" t="str">
        <x:v>Terintegrasi/terpakai dalam purwarupa; sesuai kebijakan institusi</x:v>
      </x:c>
    </x:row>
    <x:row r="39">
      <x:c r="A39" s="12" t="n">
        <x:v>36</x:v>
      </x:c>
      <x:c r="B39" s="12" t="str">
        <x:v>Tahun II</x:v>
      </x:c>
      <x:c r="C39" s="12" t="str">
        <x:v>Bahan/komponen purwarupa</x:v>
      </x:c>
      <x:c r="D39" s="12" t="str">
        <x:v>Emergency shutdown controller</x:v>
      </x:c>
      <x:c r="E39" s="12" t="n">
        <x:v>4</x:v>
      </x:c>
      <x:c r="F39" s="12" t="str">
        <x:v>unit</x:v>
      </x:c>
      <x:c r="G39" s="54" t="n">
        <x:v>400000</x:v>
      </x:c>
      <x:c r="H39" s="54" t="n">
        <x:v>1600000</x:v>
      </x:c>
      <x:c r="I39" s="12" t="str">
        <x:v>Pemutusan terkoordinasi BESS dan charger</x:v>
      </x:c>
      <x:c r="J39" s="12" t="str">
        <x:v>Terintegrasi/terpakai dalam purwarupa; sesuai kebijakan institusi</x:v>
      </x:c>
    </x:row>
    <x:row r="40">
      <x:c r="A40" s="12" t="n">
        <x:v>37</x:v>
      </x:c>
      <x:c r="B40" s="12" t="str">
        <x:v>Tahun II</x:v>
      </x:c>
      <x:c r="C40" s="12" t="str">
        <x:v>Bahan/komponen purwarupa</x:v>
      </x:c>
      <x:c r="D40" s="12" t="str">
        <x:v>Grounding dan SPD components</x:v>
      </x:c>
      <x:c r="E40" s="12" t="n">
        <x:v>1</x:v>
      </x:c>
      <x:c r="F40" s="12" t="str">
        <x:v>paket</x:v>
      </x:c>
      <x:c r="G40" s="54" t="n">
        <x:v>5000000</x:v>
      </x:c>
      <x:c r="H40" s="54" t="n">
        <x:v>5000000</x:v>
      </x:c>
      <x:c r="I40" s="12" t="str">
        <x:v>Proteksi petir/surge dan bonding</x:v>
      </x:c>
      <x:c r="J40" s="12" t="str">
        <x:v>Terintegrasi/terpakai dalam purwarupa; sesuai kebijakan institusi</x:v>
      </x:c>
    </x:row>
    <x:row r="41">
      <x:c r="A41" s="12" t="n">
        <x:v>38</x:v>
      </x:c>
      <x:c r="B41" s="12" t="str">
        <x:v>Tahun II</x:v>
      </x:c>
      <x:c r="C41" s="12" t="str">
        <x:v>Bahan/komponen purwarupa</x:v>
      </x:c>
      <x:c r="D41" s="12" t="str">
        <x:v>AC/DC cabling</x:v>
      </x:c>
      <x:c r="E41" s="12" t="n">
        <x:v>1</x:v>
      </x:c>
      <x:c r="F41" s="12" t="str">
        <x:v>lot</x:v>
      </x:c>
      <x:c r="G41" s="54" t="n">
        <x:v>6000000</x:v>
      </x:c>
      <x:c r="H41" s="54" t="n">
        <x:v>6000000</x:v>
      </x:c>
      <x:c r="I41" s="12" t="str">
        <x:v>Kabel daya PV–BESS–grid dan charger</x:v>
      </x:c>
      <x:c r="J41" s="12" t="str">
        <x:v>Terintegrasi/terpakai dalam purwarupa; sesuai kebijakan institusi</x:v>
      </x:c>
    </x:row>
    <x:row r="42">
      <x:c r="A42" s="12" t="n">
        <x:v>39</x:v>
      </x:c>
      <x:c r="B42" s="12" t="str">
        <x:v>Tahun II</x:v>
      </x:c>
      <x:c r="C42" s="12" t="str">
        <x:v>Bahan/komponen purwarupa</x:v>
      </x:c>
      <x:c r="D42" s="12" t="str">
        <x:v>Terminal, cable gland dan safety label</x:v>
      </x:c>
      <x:c r="E42" s="12" t="n">
        <x:v>1</x:v>
      </x:c>
      <x:c r="F42" s="12" t="str">
        <x:v>lot</x:v>
      </x:c>
      <x:c r="G42" s="54" t="n">
        <x:v>3000000</x:v>
      </x:c>
      <x:c r="H42" s="54" t="n">
        <x:v>3000000</x:v>
      </x:c>
      <x:c r="I42" s="12" t="str">
        <x:v>Perakitan panel dan penandaan keselamatan</x:v>
      </x:c>
      <x:c r="J42" s="12" t="str">
        <x:v>Terintegrasi/terpakai dalam purwarupa; sesuai kebijakan institusi</x:v>
      </x:c>
    </x:row>
    <x:row r="43">
      <x:c r="A43" s="12" t="n">
        <x:v>40</x:v>
      </x:c>
      <x:c r="B43" s="12" t="str">
        <x:v>Tahun II</x:v>
      </x:c>
      <x:c r="C43" s="12" t="str">
        <x:v>Bahan/komponen purwarupa</x:v>
      </x:c>
      <x:c r="D43" s="12" t="str">
        <x:v>Network surge protector</x:v>
      </x:c>
      <x:c r="E43" s="12" t="n">
        <x:v>4</x:v>
      </x:c>
      <x:c r="F43" s="12" t="str">
        <x:v>unit</x:v>
      </x:c>
      <x:c r="G43" s="54" t="n">
        <x:v>500000</x:v>
      </x:c>
      <x:c r="H43" s="54" t="n">
        <x:v>2000000</x:v>
      </x:c>
      <x:c r="I43" s="12" t="str">
        <x:v>Proteksi port Ethernet/RS485 pada perangkat lapangan</x:v>
      </x:c>
      <x:c r="J43" s="12" t="str">
        <x:v>Terintegrasi/terpakai dalam purwarupa; sesuai kebijakan institusi</x:v>
      </x:c>
    </x:row>
    <x:row r="44">
      <x:c r="A44" s="12" t="n">
        <x:v>41</x:v>
      </x:c>
      <x:c r="B44" s="12" t="str">
        <x:v>Tahun II</x:v>
      </x:c>
      <x:c r="C44" s="12" t="str">
        <x:v>Bahan/komponen purwarupa</x:v>
      </x:c>
      <x:c r="D44" s="12" t="str">
        <x:v>Cooling fan dan heat-sink</x:v>
      </x:c>
      <x:c r="E44" s="12" t="n">
        <x:v>4</x:v>
      </x:c>
      <x:c r="F44" s="12" t="str">
        <x:v>set</x:v>
      </x:c>
      <x:c r="G44" s="54" t="n">
        <x:v>600000</x:v>
      </x:c>
      <x:c r="H44" s="54" t="n">
        <x:v>2400000</x:v>
      </x:c>
      <x:c r="I44" s="12" t="str">
        <x:v>Manajemen termal panel dan controller</x:v>
      </x:c>
      <x:c r="J44" s="12" t="str">
        <x:v>Terintegrasi/terpakai dalam purwarupa; sesuai kebijakan institusi</x:v>
      </x:c>
    </x:row>
    <x:row r="45">
      <x:c r="A45" s="12" t="n">
        <x:v>42</x:v>
      </x:c>
      <x:c r="B45" s="12" t="str">
        <x:v>Tahun II</x:v>
      </x:c>
      <x:c r="C45" s="12" t="str">
        <x:v>Bahan/komponen purwarupa</x:v>
      </x:c>
      <x:c r="D45" s="12" t="str">
        <x:v>Spare relay, contactor dan sensor</x:v>
      </x:c>
      <x:c r="E45" s="12" t="n">
        <x:v>1</x:v>
      </x:c>
      <x:c r="F45" s="12" t="str">
        <x:v>lot</x:v>
      </x:c>
      <x:c r="G45" s="54" t="n">
        <x:v>4000000</x:v>
      </x:c>
      <x:c r="H45" s="54" t="n">
        <x:v>4000000</x:v>
      </x:c>
      <x:c r="I45" s="12" t="str">
        <x:v>Penggantian saat commissioning/fault injection</x:v>
      </x:c>
      <x:c r="J45" s="12" t="str">
        <x:v>Terintegrasi/terpakai dalam purwarupa; sesuai kebijakan institusi</x:v>
      </x:c>
    </x:row>
    <x:row r="46">
      <x:c r="A46" s="12" t="n">
        <x:v>43</x:v>
      </x:c>
      <x:c r="B46" s="12" t="str">
        <x:v>Tahun II</x:v>
      </x:c>
      <x:c r="C46" s="12" t="str">
        <x:v>Bahan/komponen purwarupa</x:v>
      </x:c>
      <x:c r="D46" s="12" t="str">
        <x:v>Mounting bracket dan komponen enclosure</x:v>
      </x:c>
      <x:c r="E46" s="12" t="n">
        <x:v>1</x:v>
      </x:c>
      <x:c r="F46" s="12" t="str">
        <x:v>lot</x:v>
      </x:c>
      <x:c r="G46" s="54" t="n">
        <x:v>1000000</x:v>
      </x:c>
      <x:c r="H46" s="54" t="n">
        <x:v>1000000</x:v>
      </x:c>
      <x:c r="I46" s="12" t="str">
        <x:v>Penguatan perakitan panel dan sensor</x:v>
      </x:c>
      <x:c r="J46" s="12" t="str">
        <x:v>Terintegrasi/terpakai dalam purwarupa; sesuai kebijakan institusi</x:v>
      </x:c>
    </x:row>
    <x:row r="48">
      <x:c r="A48" s="29"/>
      <x:c r="B48" s="29" t="str">
        <x:v>RINGKASAN</x:v>
      </x:c>
      <x:c r="C48" s="29"/>
      <x:c r="D48" s="29"/>
      <x:c r="E48" s="29"/>
      <x:c r="F48" s="29"/>
      <x:c r="G48" s="29"/>
      <x:c r="H48" s="29"/>
      <x:c r="I48" s="29"/>
      <x:c r="J48" s="29"/>
    </x:row>
    <x:row r="49">
      <x:c r="B49" s="18" t="str">
        <x:v>Tahun</x:v>
      </x:c>
      <x:c r="C49" s="18" t="str">
        <x:v>Jumlah Baris Barang</x:v>
      </x:c>
      <x:c r="D49" s="18" t="str">
        <x:v>Belanja Modal</x:v>
      </x:c>
      <x:c r="E49" s="18" t="str">
        <x:v>Komponen Purwarupa</x:v>
      </x:c>
    </x:row>
    <x:row r="50">
      <x:c r="B50" t="str">
        <x:v>Tahun I</x:v>
      </x:c>
      <x:c r="C50" t="n">
        <x:v>22</x:v>
      </x:c>
      <x:c r="D50" s="68" t="n">
        <x:v>25000000</x:v>
      </x:c>
      <x:c r="E50" s="68" t="n">
        <x:v>40000000</x:v>
      </x:c>
    </x:row>
    <x:row r="51">
      <x:c r="B51" t="str">
        <x:v>Tahun II</x:v>
      </x:c>
      <x:c r="C51" t="n">
        <x:v>21</x:v>
      </x:c>
      <x:c r="D51" s="68" t="n">
        <x:v>25000000</x:v>
      </x:c>
      <x:c r="E51" s="68" t="n">
        <x:v>40000000</x:v>
      </x:c>
    </x:row>
    <x:row r="52">
      <x:c r="B52" s="37" t="str">
        <x:v>Total</x:v>
      </x:c>
      <x:c r="C52" s="37" t="n">
        <x:v>43</x:v>
      </x:c>
      <x:c r="D52" s="69" t="n">
        <x:v>50000000</x:v>
      </x:c>
      <x:c r="E52" s="69" t="n">
        <x:v>80000000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2" hidden="0" customWidth="1"/>
    <x:col min="3" max="3" width="30" hidden="0" customWidth="1"/>
    <x:col min="4" max="4" width="42" hidden="0" customWidth="1"/>
    <x:col min="5" max="5" width="52" hidden="0" customWidth="1"/>
  </x:cols>
  <x:sheetData>
    <x:row r="1">
      <x:c r="A1" s="5" t="str">
        <x:v>TIM PERISET RIIM KOMPETISI 2026</x:v>
      </x:c>
      <x:c r="B1" s="5"/>
      <x:c r="C1" s="5"/>
      <x:c r="D1" s="5"/>
      <x:c r="E1" s="5"/>
    </x:row>
    <x:row r="3">
      <x:c r="A3" s="18" t="str">
        <x:v>Posisi</x:v>
      </x:c>
      <x:c r="B3" s="18" t="str">
        <x:v>Nama</x:v>
      </x:c>
      <x:c r="C3" s="18" t="str">
        <x:v>Institusi</x:v>
      </x:c>
      <x:c r="D3" s="18" t="str">
        <x:v>Kepakaran</x:v>
      </x:c>
      <x:c r="E3" s="18" t="str">
        <x:v>Peran</x:v>
      </x:c>
    </x:row>
    <x:row r="4">
      <x:c r="A4" s="12" t="str">
        <x:v>Ketua</x:v>
      </x:c>
      <x:c r="B4" s="12" t="str">
        <x:v>Prof. Dr. Subiyanto, S.T., M.T.</x:v>
      </x:c>
      <x:c r="C4" s="12" t="str">
        <x:v>Universitas Negeri Semarang</x:v>
      </x:c>
      <x:c r="D4" s="12" t="str">
        <x:v>Intelligent control, power electronics, AI</x:v>
      </x:c>
      <x:c r="E4" s="12" t="str">
        <x:v>Ketua; novelty, integrasi sistem, scientific governance</x:v>
      </x:c>
    </x:row>
    <x:row r="5">
      <x:c r="A5" s="12" t="str">
        <x:v>Anggota 1</x:v>
      </x:c>
      <x:c r="B5" s="12" t="str">
        <x:v>Bagaskoro Saputro, S.Si., M.Cs.</x:v>
      </x:c>
      <x:c r="C5" s="12" t="str">
        <x:v>BINUS University</x:v>
      </x:c>
      <x:c r="D5" s="12" t="str">
        <x:v>IoT-edge, backend, cybersecurity</x:v>
      </x:c>
      <x:c r="E5" s="12" t="str">
        <x:v>Gateway, CSMS/CMS, dashboard, interoperabilitas, keamanan</x:v>
      </x:c>
    </x:row>
    <x:row r="6">
      <x:c r="A6" s="12" t="str">
        <x:v>Anggota 2</x:v>
      </x:c>
      <x:c r="B6" s="12" t="str">
        <x:v>Mario Norman Syah, S.Pd., M.Eng.</x:v>
      </x:c>
      <x:c r="C6" s="12" t="str">
        <x:v>Universitas Negeri Semarang</x:v>
      </x:c>
      <x:c r="D6" s="12" t="str">
        <x:v>PV–BESS, power electronics, EMS</x:v>
      </x:c>
      <x:c r="E6" s="12" t="str">
        <x:v>Sizing PV–BESS, integrasi perangkat daya, formulasi dan pengujian EMS</x:v>
      </x:c>
    </x:row>
    <x:row r="7">
      <x:c r="A7" s="12" t="str">
        <x:v>Anggota 3</x:v>
      </x:c>
      <x:c r="B7" s="12" t="str">
        <x:v>Adhe Lingga Dewi, S.Si., M.Si.</x:v>
      </x:c>
      <x:c r="C7" s="12" t="str">
        <x:v>BINUS University</x:v>
      </x:c>
      <x:c r="D7" s="12" t="str">
        <x:v>IoT sensor, ANN/ML, data quality</x:v>
      </x:c>
      <x:c r="E7" s="12" t="str">
        <x:v>Kalibrasi, forecasting, anomaly detection, pengelolaan data</x:v>
      </x:c>
    </x:row>
    <x:row r="8">
      <x:c r="A8" s="12" t="str">
        <x:v>Anggota 4</x:v>
      </x:c>
      <x:c r="B8" s="12" t="str">
        <x:v>Ir. Turnad Lenggo Ginta, S.T., M.T., Ph.D.</x:v>
      </x:c>
      <x:c r="C8" s="12" t="str">
        <x:v>BRIN</x:v>
      </x:c>
      <x:c r="D8" s="12" t="str">
        <x:v>Techno-economic, energy policy, hilirisasi</x:v>
      </x:c>
      <x:c r="E8" s="12" t="str">
        <x:v>Analisis biaya-emisi, ESG, kebijakan, hilirisasi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8" hidden="0" customWidth="1"/>
    <x:col min="3" max="3" width="18" hidden="0" customWidth="1"/>
    <x:col min="4" max="4" width="18" hidden="0" customWidth="1"/>
    <x:col min="5" max="5" width="30" hidden="0" customWidth="1"/>
    <x:col min="6" max="6" width="65" hidden="0" customWidth="1"/>
  </x:cols>
  <x:sheetData>
    <x:row r="1">
      <x:c r="A1" s="5" t="str">
        <x:v>CATATAN DAN VALIDASI RAB</x:v>
      </x:c>
      <x:c r="B1" s="5"/>
      <x:c r="C1" s="5"/>
      <x:c r="D1" s="5"/>
      <x:c r="E1" s="5"/>
      <x:c r="F1" s="5"/>
    </x:row>
    <x:row r="3">
      <x:c r="A3" s="18" t="str">
        <x:v>No.</x:v>
      </x:c>
      <x:c r="B3" s="18" t="str">
        <x:v>Aspek</x:v>
      </x:c>
      <x:c r="C3" s="18" t="str">
        <x:v>Tahun I</x:v>
      </x:c>
      <x:c r="D3" s="18" t="str">
        <x:v>Tahun II</x:v>
      </x:c>
      <x:c r="E3" s="18" t="str">
        <x:v>Ketentuan/Status</x:v>
      </x:c>
      <x:c r="F3" s="18" t="str">
        <x:v>Catatan</x:v>
      </x:c>
    </x:row>
    <x:row r="4">
      <x:c r="A4" t="n">
        <x:v>1</x:v>
      </x:c>
      <x:c r="B4" t="str">
        <x:v>Total pendanaan</x:v>
      </x:c>
      <x:c r="C4" s="68" t="n">
        <x:v>250000000</x:v>
      </x:c>
      <x:c r="D4" s="68" t="n">
        <x:v>250000000</x:v>
      </x:c>
      <x:c r="E4" t="str">
        <x:v>Pagu kerja revisi</x:v>
      </x:c>
      <x:c r="F4" t="str">
        <x:v>Total dua tahun Rp500.000.000</x:v>
      </x:c>
    </x:row>
    <x:row r="5">
      <x:c r="A5" t="n">
        <x:v>2</x:v>
      </x:c>
      <x:c r="B5" t="str">
        <x:v>BLP</x:v>
      </x:c>
      <x:c r="C5" s="68" t="n">
        <x:v>52800000</x:v>
      </x:c>
      <x:c r="D5" s="68" t="n">
        <x:v>52800000</x:v>
      </x:c>
      <x:c r="E5" t="str">
        <x:v>Maksimum 25%</x:v>
      </x:c>
      <x:c r="F5" t="str">
        <x:v>1 ketua + 4 anggota, honor 4 bulan penuh</x:v>
      </x:c>
    </x:row>
    <x:row r="6">
      <x:c r="A6" t="n">
        <x:v>3</x:v>
      </x:c>
      <x:c r="B6" t="str">
        <x:v>BLNP</x:v>
      </x:c>
      <x:c r="C6" s="68" t="n">
        <x:v>184700000</x:v>
      </x:c>
      <x:c r="D6" s="68" t="n">
        <x:v>184700000</x:v>
      </x:c>
      <x:c r="E6" t="str">
        <x:v>Minimum 70%</x:v>
      </x:c>
      <x:c r="F6" t="str">
        <x:v>73,88% per tahun</x:v>
      </x:c>
    </x:row>
    <x:row r="7">
      <x:c r="A7" t="n">
        <x:v>4</x:v>
      </x:c>
      <x:c r="B7" t="str">
        <x:v>BTL</x:v>
      </x:c>
      <x:c r="C7" s="68" t="n">
        <x:v>12500000</x:v>
      </x:c>
      <x:c r="D7" s="68" t="n">
        <x:v>12500000</x:v>
      </x:c>
      <x:c r="E7" t="str">
        <x:v>Maksimum 5%</x:v>
      </x:c>
      <x:c r="F7" t="str">
        <x:v>Khusus monev internal</x:v>
      </x:c>
    </x:row>
    <x:row r="8">
      <x:c r="A8" t="n">
        <x:v>5</x:v>
      </x:c>
      <x:c r="B8" t="str">
        <x:v>Belanja modal</x:v>
      </x:c>
      <x:c r="C8" s="68" t="n">
        <x:v>25000000</x:v>
      </x:c>
      <x:c r="D8" s="68" t="n">
        <x:v>25000000</x:v>
      </x:c>
      <x:c r="E8" t="str">
        <x:v>10% per tahun</x:v>
      </x:c>
      <x:c r="F8" t="str">
        <x:v>8 baris Tahun I dan 7 baris Tahun II</x:v>
      </x:c>
    </x:row>
    <x:row r="9">
      <x:c r="A9" t="n">
        <x:v>6</x:v>
      </x:c>
      <x:c r="B9" t="str">
        <x:v>Komponen purwarupa</x:v>
      </x:c>
      <x:c r="C9" s="68" t="n">
        <x:v>40000000</x:v>
      </x:c>
      <x:c r="D9" s="68" t="n">
        <x:v>40000000</x:v>
      </x:c>
      <x:c r="E9" t="str">
        <x:v>BLNP</x:v>
      </x:c>
      <x:c r="F9" t="str">
        <x:v>14 baris komponen fisik pada setiap tahun</x:v>
      </x:c>
    </x:row>
    <x:row r="11">
      <x:c r="A11" s="29" t="str">
        <x:v>ASUMSI DAN VALIDASI SEBELUM SUBMIT</x:v>
      </x:c>
      <x:c r="B11" s="29"/>
      <x:c r="C11" s="29"/>
      <x:c r="D11" s="29"/>
      <x:c r="E11" s="29"/>
      <x:c r="F11" s="29"/>
    </x:row>
    <x:row r="12">
      <x:c r="A12" s="12" t="str">
        <x:v>1</x:v>
      </x:c>
      <x:c r="B12" s="12" t="str">
        <x:v>Klasifikasi belanja modal dan bahan/komponen purwarupa harus dikonfirmasi dengan kebijakan pencatatan aset institusi.</x:v>
      </x:c>
      <x:c r="C12" s="12"/>
      <x:c r="D12" s="12"/>
      <x:c r="E12" s="12"/>
      <x:c r="F12" s="12"/>
    </x:row>
    <x:row r="13">
      <x:c r="A13" s="12" t="str">
        <x:v>2</x:v>
      </x:c>
      <x:c r="B13" s="12" t="str">
        <x:v>Charger, display, PV, BESS dan inverter tetap menggunakan perangkat mitra/in-kind/sewa; surat dukungan harus menyebutkan jenis, kapasitas dan lama penggunaan.</x:v>
      </x:c>
      <x:c r="C13" s="12"/>
      <x:c r="D13" s="12"/>
      <x:c r="E13" s="12"/>
      <x:c r="F13" s="12"/>
    </x:row>
    <x:row r="14">
      <x:c r="A14" s="12" t="str">
        <x:v>3</x:v>
      </x:c>
      <x:c r="B14" s="12" t="str">
        <x:v>HPS wajib diperbarui dengan minimal dua quotation/vendor serta SBM/SBK tahun berjalan.</x:v>
      </x:c>
      <x:c r="C14" s="12"/>
      <x:c r="D14" s="12"/>
      <x:c r="E14" s="12"/>
      <x:c r="F14" s="12"/>
    </x:row>
    <x:row r="15">
      <x:c r="A15" s="12" t="str">
        <x:v>4</x:v>
      </x:c>
      <x:c r="B15" s="12" t="str">
        <x:v>Tidak ada pekerjaan sipil permanen; mounting yang digunakan bersifat modular/nonpermanen dan berasal dari sewa/dukungan mitra.</x:v>
      </x:c>
      <x:c r="C15" s="12"/>
      <x:c r="D15" s="12"/>
      <x:c r="E15" s="12"/>
      <x:c r="F15" s="12"/>
    </x:row>
    <x:row r="16">
      <x:c r="A16" s="12" t="str">
        <x:v>5</x:v>
      </x:c>
      <x:c r="B16" s="12" t="str">
        <x:v>Jumlah barang diperbanyak tanpa mengubah total pagu Rp250 juta per tahun dan komposisi BLP–BLNP–BTL.</x:v>
      </x:c>
      <x:c r="C16" s="12"/>
      <x:c r="D16" s="12"/>
      <x:c r="E16" s="12"/>
      <x:c r="F16" s="12"/>
    </x:row>
  </x:sheetData>
  <x:mergeCells>
    <x:mergeCell ref="A1:F1"/>
    <x:mergeCell ref="A11:F11"/>
    <x:mergeCell ref="B12:F12"/>
    <x:mergeCell ref="B13:F13"/>
    <x:mergeCell ref="B14:F14"/>
    <x:mergeCell ref="B15:F15"/>
    <x:mergeCell ref="B16:F16"/>
  </x:mergeCells>
  <x:pageMargins left="0.7" right="0.7" top="0.75" bottom="0.75" header="0.3" footer="0.3"/>
</x:worksheet>
</file>