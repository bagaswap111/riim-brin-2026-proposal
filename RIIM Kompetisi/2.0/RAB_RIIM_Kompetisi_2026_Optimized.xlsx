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incian (th1)" sheetId="1" state="visible" r:id="rId1"/>
    <sheet name="Rincian (th2)" sheetId="2" state="visible" r:id="rId2"/>
    <sheet name="Rincian (th3)" sheetId="3" state="visible" r:id="rId3"/>
    <sheet name="Rekap" sheetId="4" state="visible" r:id="rId4"/>
    <sheet name="Daftar Barang Dibeli" sheetId="5" state="visible" r:id="rId5"/>
    <sheet name="Tim Periset" sheetId="6" state="visible" r:id="rId6"/>
    <sheet name="Catatan" sheetId="7" state="visible" r:id="rId7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17324D"/>
      <sz val="11"/>
    </font>
    <font>
      <name val="Carlito"/>
      <b val="1"/>
      <color rgb="FF7F6000"/>
      <sz val="11"/>
    </font>
    <font>
      <name val="Carlito"/>
      <b val="1"/>
      <color rgb="FF215E21"/>
      <sz val="11"/>
    </font>
    <font>
      <name val="Carlito"/>
      <i val="1"/>
      <color rgb="FF7F1D1D"/>
      <sz val="11"/>
    </font>
  </fonts>
  <fills count="9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2">
    <border/>
    <border/>
  </borders>
  <cellStyleXfs count="1">
    <xf numFmtId="0" fontId="0" fillId="0" borderId="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0" pivotButton="0" quotePrefix="0" xfId="0"/>
    <xf numFmtId="0" fontId="5" fillId="6" borderId="0" pivotButton="0" quotePrefix="0" xfId="0"/>
    <xf numFmtId="0" fontId="0" fillId="6" borderId="1" pivotButton="0" quotePrefix="0" xfId="0"/>
    <xf numFmtId="0" fontId="5" fillId="6" borderId="1" pivotButton="0" quotePrefix="0" xfId="0"/>
    <xf numFmtId="0" fontId="0" fillId="7" borderId="0" pivotButton="0" quotePrefix="0" xfId="0"/>
    <xf numFmtId="0" fontId="6" fillId="7" borderId="0" pivotButton="0" quotePrefix="0" xfId="0"/>
    <xf numFmtId="0" fontId="0" fillId="7" borderId="1" pivotButton="0" quotePrefix="0" xfId="0"/>
    <xf numFmtId="0" fontId="6" fillId="7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6" fillId="7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6" fillId="7" borderId="1" applyAlignment="1" pivotButton="0" quotePrefix="0" xfId="0">
      <alignment wrapText="1"/>
    </xf>
    <xf numFmtId="3" fontId="4" fillId="4" borderId="0" applyAlignment="1" pivotButton="0" quotePrefix="0" xfId="0">
      <alignment wrapText="1"/>
    </xf>
    <xf numFmtId="3" fontId="4" fillId="5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5" fillId="6" borderId="0" applyAlignment="1" pivotButton="0" quotePrefix="0" xfId="0">
      <alignment wrapText="1"/>
    </xf>
    <xf numFmtId="3" fontId="6" fillId="7" borderId="0" applyAlignment="1" pivotButton="0" quotePrefix="0" xfId="0">
      <alignment wrapText="1"/>
    </xf>
    <xf numFmtId="3" fontId="4" fillId="4" borderId="1" applyAlignment="1" pivotButton="0" quotePrefix="0" xfId="0">
      <alignment wrapText="1"/>
    </xf>
    <xf numFmtId="3" fontId="4" fillId="5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3" fontId="5" fillId="6" borderId="1" applyAlignment="1" pivotButton="0" quotePrefix="0" xfId="0">
      <alignment wrapText="1"/>
    </xf>
    <xf numFmtId="3" fontId="6" fillId="7" borderId="1" applyAlignment="1" pivotButton="0" quotePrefix="0" xfId="0">
      <alignment wrapText="1"/>
    </xf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0" fillId="8" borderId="1" pivotButton="0" quotePrefix="0" xfId="0"/>
    <xf numFmtId="0" fontId="7" fillId="8" borderId="1" pivotButton="0" quotePrefix="0" xfId="0"/>
    <xf numFmtId="0" fontId="7" fillId="8" borderId="1" applyAlignment="1" pivotButton="0" quotePrefix="0" xfId="0">
      <alignment wrapText="1"/>
    </xf>
    <xf numFmtId="3" fontId="0" fillId="0" borderId="0" pivotButton="0" quotePrefix="0" xfId="0"/>
    <xf numFmtId="3" fontId="6" fillId="7" borderId="0" pivotButton="0" quotePrefix="0" xfId="0"/>
    <xf numFmtId="3" fontId="0" fillId="0" borderId="1" pivotButton="0" quotePrefix="0" xfId="0"/>
    <xf numFmtId="3" fontId="6" fillId="7" borderId="1" pivotButton="0" quotePrefix="0" xfId="0"/>
    <xf numFmtId="10" fontId="0" fillId="0" borderId="0" pivotButton="0" quotePrefix="0" xfId="0"/>
    <xf numFmtId="10" fontId="6" fillId="7" borderId="0" pivotButton="0" quotePrefix="0" xfId="0"/>
    <xf numFmtId="10" fontId="0" fillId="0" borderId="1" pivotButton="0" quotePrefix="0" xfId="0"/>
    <xf numFmtId="10" fontId="6" fillId="7" borderId="1" pivotButton="0" quotePrefix="0" xfId="0"/>
    <xf numFmtId="10" fontId="0" fillId="0" borderId="0" applyAlignment="1" pivotButton="0" quotePrefix="0" xfId="0">
      <alignment wrapText="1"/>
    </xf>
    <xf numFmtId="10" fontId="6" fillId="7" borderId="0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10" fontId="6" fillId="7" borderId="1" applyAlignment="1" pivotButton="0" quotePrefix="0" xfId="0">
      <alignment wrapText="1"/>
    </xf>
    <xf numFmtId="3" fontId="0" fillId="7" borderId="0" pivotButton="0" quotePrefix="0" xfId="0"/>
    <xf numFmtId="3" fontId="0" fillId="7" borderId="1" pivotButton="0" quotePrefix="0" xfId="0"/>
    <xf numFmtId="3" fontId="4" fillId="4" borderId="0" applyAlignment="1" pivotButton="0" quotePrefix="0" xfId="0">
      <alignment wrapText="1"/>
    </xf>
    <xf numFmtId="3" fontId="4" fillId="5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5" fillId="6" borderId="0" applyAlignment="1" pivotButton="0" quotePrefix="0" xfId="0">
      <alignment wrapText="1"/>
    </xf>
    <xf numFmtId="3" fontId="6" fillId="7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10" fontId="6" fillId="7" borderId="0" applyAlignment="1" pivotButton="0" quotePrefix="0" xfId="0">
      <alignment wrapText="1"/>
    </xf>
    <xf numFmtId="3" fontId="0" fillId="0" borderId="0" pivotButton="0" quotePrefix="0" xfId="0"/>
    <xf numFmtId="3" fontId="6" fillId="7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5" customWidth="1" min="3" max="3"/>
    <col width="47" customWidth="1" min="4" max="4"/>
    <col width="47" customWidth="1" min="5" max="5"/>
    <col width="10" customWidth="1" min="6" max="6"/>
    <col width="11" customWidth="1" min="7" max="7"/>
    <col width="17" customWidth="1" min="8" max="8"/>
    <col width="16" customWidth="1" min="9" max="9"/>
    <col width="19" customWidth="1" min="10" max="10"/>
    <col width="19" customWidth="1" min="11" max="11"/>
    <col width="17" customWidth="1" min="12" max="12"/>
    <col width="50" customWidth="1" min="13" max="13"/>
  </cols>
  <sheetData>
    <row r="1" ht="30" customHeight="1">
      <c r="A1" s="46" t="inlineStr">
        <is>
          <t>RINCIAN USULAN RAB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46" t="inlineStr">
        <is>
          <t>TAHUN I</t>
        </is>
      </c>
      <c r="L1" s="1" t="n"/>
      <c r="M1" s="1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</row>
    <row r="3">
      <c r="A3" s="47" t="inlineStr">
        <is>
          <t>Judul Riset</t>
        </is>
      </c>
      <c r="B3" s="1" t="n"/>
      <c r="C3" s="1" t="n"/>
      <c r="D3" s="12" t="inlineStr">
        <is>
          <t>:</t>
        </is>
      </c>
      <c r="E3" s="13" t="inlineStr">
        <is>
          <t>Data-Centric AI Pipeline untuk Smart Charging Hub Solar Hybrid: Integritas Data, Hybrid Ensemble Forecasting, dan Energy Management System Adaptif</t>
        </is>
      </c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47" t="inlineStr">
        <is>
          <t>Fokus/Skema</t>
        </is>
      </c>
      <c r="B4" s="1" t="n"/>
      <c r="C4" s="1" t="n"/>
      <c r="D4" s="12" t="inlineStr">
        <is>
          <t>:</t>
        </is>
      </c>
      <c r="E4" s="13" t="inlineStr">
        <is>
          <t>RIIM Kompetisi 2026 / Kedaulatan Energi</t>
        </is>
      </c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47" t="inlineStr">
        <is>
          <t>Ketua Periset</t>
        </is>
      </c>
      <c r="B5" s="1" t="n"/>
      <c r="C5" s="1" t="n"/>
      <c r="D5" s="12" t="inlineStr">
        <is>
          <t>:</t>
        </is>
      </c>
      <c r="E5" s="13" t="inlineStr">
        <is>
          <t>Feddy Setio Pribadi, S.T., M.Kom.</t>
        </is>
      </c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47" t="inlineStr">
        <is>
          <t>Institusi</t>
        </is>
      </c>
      <c r="B6" s="1" t="n"/>
      <c r="C6" s="1" t="n"/>
      <c r="D6" s="12" t="inlineStr">
        <is>
          <t>:</t>
        </is>
      </c>
      <c r="E6" s="13" t="inlineStr">
        <is>
          <t>Universitas Negeri Semarang</t>
        </is>
      </c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47" t="inlineStr">
        <is>
          <t>Mitra</t>
        </is>
      </c>
      <c r="B7" s="1" t="n"/>
      <c r="C7" s="1" t="n"/>
      <c r="D7" s="12" t="inlineStr">
        <is>
          <t>:</t>
        </is>
      </c>
      <c r="E7" s="13" t="inlineStr">
        <is>
          <t>PT. Arunika Sains Teknologi</t>
        </is>
      </c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47" t="inlineStr">
        <is>
          <t>Durasi</t>
        </is>
      </c>
      <c r="B8" s="1" t="n"/>
      <c r="C8" s="1" t="n"/>
      <c r="D8" s="12" t="inlineStr">
        <is>
          <t>:</t>
        </is>
      </c>
      <c r="E8" s="13" t="inlineStr">
        <is>
          <t>2 tahun; setiap periode 12 bulan</t>
        </is>
      </c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 ht="50" customHeight="1">
      <c r="A10" s="18" t="inlineStr">
        <is>
          <t>No.</t>
        </is>
      </c>
      <c r="B10" s="18" t="str"/>
      <c r="C10" s="18" t="str"/>
      <c r="D10" s="18" t="inlineStr">
        <is>
          <t>Komponen Biaya / Aktivitas</t>
        </is>
      </c>
      <c r="E10" s="18" t="inlineStr">
        <is>
          <t>Justifikasi / Indikator Kinerja</t>
        </is>
      </c>
      <c r="F10" s="18" t="inlineStr">
        <is>
          <t>Volume</t>
        </is>
      </c>
      <c r="G10" s="18" t="inlineStr">
        <is>
          <t>Frekuensi</t>
        </is>
      </c>
      <c r="H10" s="18" t="inlineStr">
        <is>
          <t>Harga Satuan (Rp)</t>
        </is>
      </c>
      <c r="I10" s="18" t="inlineStr">
        <is>
          <t>Satuan</t>
        </is>
      </c>
      <c r="J10" s="18" t="inlineStr">
        <is>
          <t>Jumlah</t>
        </is>
      </c>
      <c r="K10" s="18" t="inlineStr">
        <is>
          <t>LPDP</t>
        </is>
      </c>
      <c r="L10" s="18" t="inlineStr">
        <is>
          <t>Mitra</t>
        </is>
      </c>
      <c r="M10" s="18" t="inlineStr">
        <is>
          <t>HPS / Sumber</t>
        </is>
      </c>
    </row>
    <row r="11" ht="34" customHeight="1">
      <c r="A11" s="42" t="inlineStr">
        <is>
          <t>I.</t>
        </is>
      </c>
      <c r="B11" s="42" t="inlineStr">
        <is>
          <t>BIAYA LANGSUNG</t>
        </is>
      </c>
      <c r="C11" s="42" t="n"/>
      <c r="D11" s="42" t="n"/>
      <c r="E11" s="42" t="n"/>
      <c r="F11" s="42" t="n"/>
      <c r="G11" s="42" t="n"/>
      <c r="H11" s="82" t="n"/>
      <c r="I11" s="82" t="n"/>
      <c r="J11" s="82" t="n"/>
      <c r="K11" s="82" t="n"/>
      <c r="L11" s="82" t="n"/>
      <c r="M11" s="42" t="n"/>
    </row>
    <row r="12" ht="34" customHeight="1">
      <c r="A12" s="43" t="n"/>
      <c r="B12" s="43" t="inlineStr">
        <is>
          <t>A.</t>
        </is>
      </c>
      <c r="C12" s="43" t="inlineStr">
        <is>
          <t>BIAYA LANGSUNG PERSONIL</t>
        </is>
      </c>
      <c r="D12" s="43" t="n"/>
      <c r="E12" s="43" t="n"/>
      <c r="F12" s="43" t="n"/>
      <c r="G12" s="43" t="n"/>
      <c r="H12" s="83" t="n"/>
      <c r="I12" s="83" t="n"/>
      <c r="J12" s="83" t="n"/>
      <c r="K12" s="83" t="n"/>
      <c r="L12" s="83" t="n"/>
      <c r="M12" s="43" t="n"/>
    </row>
    <row r="13" ht="34" customHeight="1">
      <c r="A13" s="12" t="n"/>
      <c r="B13" s="12" t="n"/>
      <c r="C13" s="12" t="n">
        <v>1</v>
      </c>
      <c r="D13" s="12" t="inlineStr">
        <is>
          <t>Feddy Setio Pribadi, S.T., M.Kom.</t>
        </is>
      </c>
      <c r="E13" s="12" t="inlineStr">
        <is>
          <t>Ketua periset; perancang pipeline AI, data integrity, hybrid ensemble, drift detection, CPTS</t>
        </is>
      </c>
      <c r="F13" s="12" t="n">
        <v>1</v>
      </c>
      <c r="G13" s="12" t="n">
        <v>4</v>
      </c>
      <c r="H13" s="84" t="n">
        <v>3600000</v>
      </c>
      <c r="I13" s="84" t="inlineStr">
        <is>
          <t>OB</t>
        </is>
      </c>
      <c r="J13" s="84" t="n">
        <v>14400000</v>
      </c>
      <c r="K13" s="84" t="n">
        <v>14400000</v>
      </c>
      <c r="L13" s="84" t="n">
        <v>0</v>
      </c>
      <c r="M13" s="12" t="inlineStr">
        <is>
          <t>Satuan biaya RIIM 2026</t>
        </is>
      </c>
    </row>
    <row r="14" ht="34" customHeight="1">
      <c r="A14" s="12" t="n"/>
      <c r="B14" s="12" t="n"/>
      <c r="C14" s="12" t="n">
        <v>2</v>
      </c>
      <c r="D14" s="12" t="inlineStr">
        <is>
          <t>Bagaskoro Saputro, S.Si., M.Cs.</t>
        </is>
      </c>
      <c r="E14" s="12" t="inlineStr">
        <is>
          <t>Anggota; IoT-edge, backend, MQTT/Modbus bridge, CSMS, dashboard</t>
        </is>
      </c>
      <c r="F14" s="12" t="n">
        <v>1</v>
      </c>
      <c r="G14" s="12" t="n">
        <v>4</v>
      </c>
      <c r="H14" s="84" t="n">
        <v>2400000</v>
      </c>
      <c r="I14" s="84" t="inlineStr">
        <is>
          <t>OB</t>
        </is>
      </c>
      <c r="J14" s="84" t="n">
        <v>9600000</v>
      </c>
      <c r="K14" s="84" t="n">
        <v>9600000</v>
      </c>
      <c r="L14" s="84" t="n">
        <v>0</v>
      </c>
      <c r="M14" s="12" t="inlineStr">
        <is>
          <t>Satuan biaya RIIM 2026</t>
        </is>
      </c>
    </row>
    <row r="15" ht="34" customHeight="1">
      <c r="A15" s="12" t="n"/>
      <c r="B15" s="12" t="n"/>
      <c r="C15" s="12" t="n">
        <v>3</v>
      </c>
      <c r="D15" s="12" t="inlineStr">
        <is>
          <t>Mario Norman Syah, S.Pd., M.Eng.</t>
        </is>
      </c>
      <c r="E15" s="12" t="inlineStr">
        <is>
          <t>Anggota; formulasi EMS, CPTS-EMS, digital twin, uji hardware</t>
        </is>
      </c>
      <c r="F15" s="12" t="n">
        <v>1</v>
      </c>
      <c r="G15" s="12" t="n">
        <v>4</v>
      </c>
      <c r="H15" s="84" t="n">
        <v>2400000</v>
      </c>
      <c r="I15" s="84" t="inlineStr">
        <is>
          <t>OB</t>
        </is>
      </c>
      <c r="J15" s="84" t="n">
        <v>9600000</v>
      </c>
      <c r="K15" s="84" t="n">
        <v>9600000</v>
      </c>
      <c r="L15" s="84" t="n">
        <v>0</v>
      </c>
      <c r="M15" s="12" t="inlineStr">
        <is>
          <t>Satuan biaya RIIM 2026</t>
        </is>
      </c>
    </row>
    <row r="16" ht="34" customHeight="1">
      <c r="A16" s="12" t="n"/>
      <c r="B16" s="12" t="n"/>
      <c r="C16" s="12" t="n">
        <v>4</v>
      </c>
      <c r="D16" s="12" t="inlineStr">
        <is>
          <t>Adhe Lingga Dewi, S.Si., M.Si.</t>
        </is>
      </c>
      <c r="E16" s="12" t="inlineStr">
        <is>
          <t>Anggota; data quality, kalibrasi sensor, ANN, dataset curation</t>
        </is>
      </c>
      <c r="F16" s="12" t="n">
        <v>1</v>
      </c>
      <c r="G16" s="12" t="n">
        <v>4</v>
      </c>
      <c r="H16" s="84" t="n">
        <v>2400000</v>
      </c>
      <c r="I16" s="84" t="inlineStr">
        <is>
          <t>OB</t>
        </is>
      </c>
      <c r="J16" s="84" t="n">
        <v>9600000</v>
      </c>
      <c r="K16" s="84" t="n">
        <v>9600000</v>
      </c>
      <c r="L16" s="84" t="n">
        <v>0</v>
      </c>
      <c r="M16" s="12" t="inlineStr">
        <is>
          <t>Satuan biaya RIIM 2026</t>
        </is>
      </c>
    </row>
    <row r="17" ht="34" customHeight="1">
      <c r="A17" s="12" t="n"/>
      <c r="B17" s="12" t="n"/>
      <c r="C17" s="12" t="n">
        <v>5</v>
      </c>
      <c r="D17" s="12" t="inlineStr">
        <is>
          <t>Ir. Turnad Lenggo Ginta, S.T., M.T., Ph.D.</t>
        </is>
      </c>
      <c r="E17" s="12" t="inlineStr">
        <is>
          <t>Anggota; kebijakan energi, ESG, techno-economic, hilirisasi</t>
        </is>
      </c>
      <c r="F17" s="12" t="n">
        <v>1</v>
      </c>
      <c r="G17" s="12" t="n">
        <v>4</v>
      </c>
      <c r="H17" s="84" t="n">
        <v>2400000</v>
      </c>
      <c r="I17" s="84" t="inlineStr">
        <is>
          <t>OB</t>
        </is>
      </c>
      <c r="J17" s="84" t="n">
        <v>9600000</v>
      </c>
      <c r="K17" s="84" t="n">
        <v>9600000</v>
      </c>
      <c r="L17" s="84" t="n">
        <v>0</v>
      </c>
      <c r="M17" s="12" t="inlineStr">
        <is>
          <t>Satuan biaya RIIM 2026</t>
        </is>
      </c>
    </row>
    <row r="18" ht="34" customHeight="1">
      <c r="A18" s="44" t="n"/>
      <c r="B18" s="44" t="inlineStr">
        <is>
          <t>Total BLP</t>
        </is>
      </c>
      <c r="C18" s="44" t="n"/>
      <c r="D18" s="44" t="n"/>
      <c r="E18" s="44" t="n"/>
      <c r="F18" s="44" t="n"/>
      <c r="G18" s="44" t="n"/>
      <c r="H18" s="85" t="n"/>
      <c r="I18" s="85" t="n"/>
      <c r="J18" s="85" t="n">
        <v>52800000</v>
      </c>
      <c r="K18" s="85" t="n">
        <v>52800000</v>
      </c>
      <c r="L18" s="85" t="n">
        <v>0</v>
      </c>
      <c r="M18" s="44" t="n"/>
    </row>
    <row r="19" ht="34" customHeight="1">
      <c r="A19" s="43" t="n"/>
      <c r="B19" s="43" t="inlineStr">
        <is>
          <t>B.</t>
        </is>
      </c>
      <c r="C19" s="43" t="inlineStr">
        <is>
          <t>BIAYA LANGSUNG NONPERSONIL</t>
        </is>
      </c>
      <c r="D19" s="43" t="n"/>
      <c r="E19" s="43" t="n"/>
      <c r="F19" s="43" t="n"/>
      <c r="G19" s="43" t="n"/>
      <c r="H19" s="83" t="n"/>
      <c r="I19" s="83" t="n"/>
      <c r="J19" s="83" t="n"/>
      <c r="K19" s="83" t="n"/>
      <c r="L19" s="83" t="n"/>
      <c r="M19" s="43" t="n"/>
    </row>
    <row r="20" ht="34" customHeight="1">
      <c r="A20" s="42" t="n"/>
      <c r="B20" s="42" t="inlineStr">
        <is>
          <t>B.1</t>
        </is>
      </c>
      <c r="C20" s="42" t="inlineStr">
        <is>
          <t>Indikator 1</t>
        </is>
      </c>
      <c r="D20" s="42" t="inlineStr">
        <is>
          <t>Pengadaan purwarupa dan platform uji smart charging hub</t>
        </is>
      </c>
      <c r="E20" s="42" t="inlineStr">
        <is>
          <t>Pembelian komponen utama (PV, BESS, inverter), instrumentasi, dan bahan pendukung purwarupa.</t>
        </is>
      </c>
      <c r="F20" s="42" t="n"/>
      <c r="G20" s="42" t="n"/>
      <c r="H20" s="82" t="n"/>
      <c r="I20" s="82" t="n"/>
      <c r="J20" s="82" t="n"/>
      <c r="K20" s="82" t="n"/>
      <c r="L20" s="82" t="n"/>
      <c r="M20" s="42" t="n"/>
    </row>
    <row r="21" ht="34" customHeight="1">
      <c r="A21" s="43" t="n"/>
      <c r="B21" s="43" t="inlineStr">
        <is>
          <t>B.1.1</t>
        </is>
      </c>
      <c r="C21" s="43" t="inlineStr">
        <is>
          <t>Bahan Baku Purwarupa</t>
        </is>
      </c>
      <c r="D21" s="43" t="n"/>
      <c r="E21" s="43" t="n"/>
      <c r="F21" s="43" t="n"/>
      <c r="G21" s="43" t="n"/>
      <c r="H21" s="83" t="n"/>
      <c r="I21" s="83" t="n"/>
      <c r="J21" s="83" t="n"/>
      <c r="K21" s="83" t="n"/>
      <c r="L21" s="83" t="n"/>
      <c r="M21" s="43" t="n"/>
    </row>
    <row r="22" ht="34" customHeight="1">
      <c r="A22" s="12" t="n"/>
      <c r="B22" s="12" t="n"/>
      <c r="C22" s="12" t="n">
        <v>1</v>
      </c>
      <c r="D22" s="12" t="inlineStr">
        <is>
          <t>Panel surya monokristalin 370 Wp</t>
        </is>
      </c>
      <c r="E22" s="12" t="inlineStr">
        <is>
          <t>15 pcs × 370 Wp = 5,55 kWp, untuk sumber energi utama</t>
        </is>
      </c>
      <c r="F22" s="12" t="n">
        <v>15</v>
      </c>
      <c r="G22" s="12" t="n">
        <v>1</v>
      </c>
      <c r="H22" s="84" t="n">
        <v>1350000</v>
      </c>
      <c r="I22" s="84" t="inlineStr">
        <is>
          <t>unit</t>
        </is>
      </c>
      <c r="J22" s="84" t="n">
        <v>20250000</v>
      </c>
      <c r="K22" s="84" t="n">
        <v>20250000</v>
      </c>
      <c r="L22" s="84" t="n">
        <v>0</v>
      </c>
      <c r="M22" s="12" t="inlineStr">
        <is>
          <t>Spesifikasi teknis; komponen purwarupa</t>
        </is>
      </c>
    </row>
    <row r="23" ht="34" customHeight="1">
      <c r="A23" s="12" t="n"/>
      <c r="B23" s="12" t="n"/>
      <c r="C23" s="12" t="n">
        <v>2</v>
      </c>
      <c r="D23" s="12" t="inlineStr">
        <is>
          <t>BESS LiFePO₄ 10 kWh 48V</t>
        </is>
      </c>
      <c r="E23" s="12" t="inlineStr">
        <is>
          <t>Penyimpanan energi dengan BMS internal</t>
        </is>
      </c>
      <c r="F23" s="12" t="n">
        <v>1</v>
      </c>
      <c r="G23" s="12" t="n">
        <v>1</v>
      </c>
      <c r="H23" s="84" t="n">
        <v>32000000</v>
      </c>
      <c r="I23" s="84" t="inlineStr">
        <is>
          <t>unit</t>
        </is>
      </c>
      <c r="J23" s="84" t="n">
        <v>32000000</v>
      </c>
      <c r="K23" s="84" t="n">
        <v>32000000</v>
      </c>
      <c r="L23" s="84" t="n">
        <v>0</v>
      </c>
      <c r="M23" s="12" t="inlineStr">
        <is>
          <t>Spesifikasi teknis; komponen purwarupa</t>
        </is>
      </c>
    </row>
    <row r="24" ht="34" customHeight="1">
      <c r="A24" s="44" t="n"/>
      <c r="B24" s="44" t="n"/>
      <c r="C24" s="44" t="n">
        <v>3</v>
      </c>
      <c r="D24" s="44" t="inlineStr">
        <is>
          <t>Hybrid inverter 5 kW on/off-grid</t>
        </is>
      </c>
      <c r="E24" s="44" t="inlineStr">
        <is>
          <t>Inverter dua arah dengan MPPT, komunikasi Modbus</t>
        </is>
      </c>
      <c r="F24" s="44" t="n">
        <v>1</v>
      </c>
      <c r="G24" s="44" t="n">
        <v>1</v>
      </c>
      <c r="H24" s="85" t="n">
        <v>14000000</v>
      </c>
      <c r="I24" s="85" t="inlineStr">
        <is>
          <t>unit</t>
        </is>
      </c>
      <c r="J24" s="85" t="n">
        <v>14000000</v>
      </c>
      <c r="K24" s="85" t="n">
        <v>14000000</v>
      </c>
      <c r="L24" s="85" t="n">
        <v>0</v>
      </c>
      <c r="M24" s="44" t="inlineStr">
        <is>
          <t>Spesifikasi teknis; komponen purwarupa</t>
        </is>
      </c>
    </row>
    <row r="25" ht="34" customHeight="1">
      <c r="A25" s="43" t="n"/>
      <c r="B25" s="43" t="inlineStr">
        <is>
          <t>B.1.2</t>
        </is>
      </c>
      <c r="C25" s="43" t="n">
        <v>4</v>
      </c>
      <c r="D25" s="43" t="inlineStr">
        <is>
          <t>Mounting struktur atap + aksesoris</t>
        </is>
      </c>
      <c r="E25" s="43" t="inlineStr">
        <is>
          <t>Rangka panel surya, bracket, stainless steel</t>
        </is>
      </c>
      <c r="F25" s="43" t="n">
        <v>1</v>
      </c>
      <c r="G25" s="43" t="n">
        <v>1</v>
      </c>
      <c r="H25" s="83" t="n">
        <v>5000000</v>
      </c>
      <c r="I25" s="83" t="inlineStr">
        <is>
          <t>paket</t>
        </is>
      </c>
      <c r="J25" s="83" t="n">
        <v>5000000</v>
      </c>
      <c r="K25" s="83" t="n">
        <v>5000000</v>
      </c>
      <c r="L25" s="83" t="n">
        <v>0</v>
      </c>
      <c r="M25" s="43" t="inlineStr">
        <is>
          <t>Komponen purwarupa</t>
        </is>
      </c>
    </row>
    <row r="26" ht="34" customHeight="1">
      <c r="A26" s="12" t="n"/>
      <c r="B26" s="12" t="n"/>
      <c r="C26" s="12" t="n">
        <v>5</v>
      </c>
      <c r="D26" s="12" t="inlineStr">
        <is>
          <t>Kabel PV, konektor MC4, conduit</t>
        </is>
      </c>
      <c r="E26" s="12" t="inlineStr">
        <is>
          <t>Kabel DC, AC, grounding untuk interkoneksi sistem</t>
        </is>
      </c>
      <c r="F26" s="12" t="n">
        <v>1</v>
      </c>
      <c r="G26" s="12" t="n">
        <v>1</v>
      </c>
      <c r="H26" s="84" t="n">
        <v>4500000</v>
      </c>
      <c r="I26" s="84" t="inlineStr">
        <is>
          <t>lot</t>
        </is>
      </c>
      <c r="J26" s="84" t="n">
        <v>4500000</v>
      </c>
      <c r="K26" s="84" t="n">
        <v>4500000</v>
      </c>
      <c r="L26" s="84" t="n">
        <v>0</v>
      </c>
      <c r="M26" s="12" t="inlineStr">
        <is>
          <t>Bahan purwarupa</t>
        </is>
      </c>
    </row>
    <row r="27" ht="34" customHeight="1">
      <c r="A27" s="12" t="n"/>
      <c r="B27" s="12" t="n"/>
      <c r="C27" s="12" t="n">
        <v>2</v>
      </c>
      <c r="D27" s="12" t="inlineStr">
        <is>
          <t>Embedded edge controller</t>
        </is>
      </c>
      <c r="E27" s="12" t="inlineStr">
        <is>
          <t>Eksekusi lokal EMS, data-quality checking dan fallback</t>
        </is>
      </c>
      <c r="F27" s="12" t="n">
        <v>2</v>
      </c>
      <c r="G27" s="12" t="n">
        <v>1</v>
      </c>
      <c r="H27" s="84" t="n">
        <v>2500000</v>
      </c>
      <c r="I27" s="84" t="inlineStr">
        <is>
          <t>unit</t>
        </is>
      </c>
      <c r="J27" s="84">
        <f>F27*G27*H27</f>
        <v/>
      </c>
      <c r="K27" s="84">
        <f>J27-L27</f>
        <v/>
      </c>
      <c r="L27" s="84" t="n">
        <v>0</v>
      </c>
      <c r="M27" s="12" t="inlineStr">
        <is>
          <t>HPS vendor; aset institusi</t>
        </is>
      </c>
    </row>
    <row r="28" ht="34" customHeight="1">
      <c r="A28" s="12" t="n"/>
      <c r="B28" s="12" t="n"/>
      <c r="C28" s="12" t="n">
        <v>3</v>
      </c>
      <c r="D28" s="12" t="inlineStr">
        <is>
          <t>Energy meter tiga fasa</t>
        </is>
      </c>
      <c r="E28" s="12" t="inlineStr">
        <is>
          <t>Metering independen daya grid dan charger</t>
        </is>
      </c>
      <c r="F28" s="12" t="n">
        <v>2</v>
      </c>
      <c r="G28" s="12" t="n">
        <v>1</v>
      </c>
      <c r="H28" s="84" t="n">
        <v>2000000</v>
      </c>
      <c r="I28" s="84" t="inlineStr">
        <is>
          <t>unit</t>
        </is>
      </c>
      <c r="J28" s="84">
        <f>F28*G28*H28</f>
        <v/>
      </c>
      <c r="K28" s="84">
        <f>J28-L28</f>
        <v/>
      </c>
      <c r="L28" s="84" t="n">
        <v>0</v>
      </c>
      <c r="M28" s="12" t="inlineStr">
        <is>
          <t>HPS vendor; aset institusi</t>
        </is>
      </c>
    </row>
    <row r="29" ht="34" customHeight="1">
      <c r="A29" s="12" t="n"/>
      <c r="B29" s="12" t="n"/>
      <c r="C29" s="12" t="n">
        <v>4</v>
      </c>
      <c r="D29" s="12" t="inlineStr">
        <is>
          <t>DC energy meter</t>
        </is>
      </c>
      <c r="E29" s="12" t="inlineStr">
        <is>
          <t>Pengukuran aliran daya sisi DC PV/BESS</t>
        </is>
      </c>
      <c r="F29" s="12" t="n">
        <v>2</v>
      </c>
      <c r="G29" s="12" t="n">
        <v>1</v>
      </c>
      <c r="H29" s="84" t="n">
        <v>1500000</v>
      </c>
      <c r="I29" s="84" t="inlineStr">
        <is>
          <t>unit</t>
        </is>
      </c>
      <c r="J29" s="84">
        <f>F29*G29*H29</f>
        <v/>
      </c>
      <c r="K29" s="84">
        <f>J29-L29</f>
        <v/>
      </c>
      <c r="L29" s="84" t="n">
        <v>0</v>
      </c>
      <c r="M29" s="12" t="inlineStr">
        <is>
          <t>HPS vendor; aset institusi</t>
        </is>
      </c>
    </row>
    <row r="30" ht="34" customHeight="1">
      <c r="A30" s="12" t="n"/>
      <c r="B30" s="12" t="n"/>
      <c r="C30" s="12" t="n">
        <v>5</v>
      </c>
      <c r="D30" s="12" t="inlineStr">
        <is>
          <t>Managed industrial Ethernet switch</t>
        </is>
      </c>
      <c r="E30" s="12" t="inlineStr">
        <is>
          <t>Segmentasi jaringan perangkat OT/IoT</t>
        </is>
      </c>
      <c r="F30" s="12" t="n">
        <v>1</v>
      </c>
      <c r="G30" s="12" t="n">
        <v>1</v>
      </c>
      <c r="H30" s="84" t="n">
        <v>2500000</v>
      </c>
      <c r="I30" s="84" t="inlineStr">
        <is>
          <t>unit</t>
        </is>
      </c>
      <c r="J30" s="84">
        <f>F30*G30*H30</f>
        <v/>
      </c>
      <c r="K30" s="84">
        <f>J30-L30</f>
        <v/>
      </c>
      <c r="L30" s="84" t="n">
        <v>0</v>
      </c>
      <c r="M30" s="12" t="inlineStr">
        <is>
          <t>HPS vendor; aset institusi</t>
        </is>
      </c>
    </row>
    <row r="31" ht="34" customHeight="1">
      <c r="A31" s="12" t="n"/>
      <c r="B31" s="12" t="n"/>
      <c r="C31" s="12" t="n">
        <v>6</v>
      </c>
      <c r="D31" s="12" t="inlineStr">
        <is>
          <t>Industrial 4G router</t>
        </is>
      </c>
      <c r="E31" s="12" t="inlineStr">
        <is>
          <t>Konektivitas dan redundansi komunikasi</t>
        </is>
      </c>
      <c r="F31" s="12" t="n">
        <v>1</v>
      </c>
      <c r="G31" s="12" t="n">
        <v>1</v>
      </c>
      <c r="H31" s="84" t="n">
        <v>2000000</v>
      </c>
      <c r="I31" s="84" t="inlineStr">
        <is>
          <t>unit</t>
        </is>
      </c>
      <c r="J31" s="84">
        <f>F31*G31*H31</f>
        <v/>
      </c>
      <c r="K31" s="84">
        <f>J31-L31</f>
        <v/>
      </c>
      <c r="L31" s="84" t="n">
        <v>0</v>
      </c>
      <c r="M31" s="12" t="inlineStr">
        <is>
          <t>HPS vendor; aset institusi</t>
        </is>
      </c>
    </row>
    <row r="32" ht="34" customHeight="1">
      <c r="A32" s="12" t="n"/>
      <c r="B32" s="12" t="n"/>
      <c r="C32" s="12" t="n">
        <v>7</v>
      </c>
      <c r="D32" s="12" t="inlineStr">
        <is>
          <t>NAS/edge storage</t>
        </is>
      </c>
      <c r="E32" s="12" t="inlineStr">
        <is>
          <t>Penyimpanan telemetri lokal dan backup</t>
        </is>
      </c>
      <c r="F32" s="12" t="n">
        <v>1</v>
      </c>
      <c r="G32" s="12" t="n">
        <v>1</v>
      </c>
      <c r="H32" s="84" t="n">
        <v>3000000</v>
      </c>
      <c r="I32" s="84" t="inlineStr">
        <is>
          <t>unit</t>
        </is>
      </c>
      <c r="J32" s="84">
        <f>F32*G32*H32</f>
        <v/>
      </c>
      <c r="K32" s="84">
        <f>J32-L32</f>
        <v/>
      </c>
      <c r="L32" s="84" t="n">
        <v>0</v>
      </c>
      <c r="M32" s="12" t="inlineStr">
        <is>
          <t>HPS vendor; aset institusi</t>
        </is>
      </c>
    </row>
    <row r="33" ht="34" customHeight="1">
      <c r="A33" s="12" t="n"/>
      <c r="B33" s="12" t="n"/>
      <c r="C33" s="12" t="n">
        <v>8</v>
      </c>
      <c r="D33" s="12" t="inlineStr">
        <is>
          <t>Portable irradiance-temperature reference meter</t>
        </is>
      </c>
      <c r="E33" s="12" t="inlineStr">
        <is>
          <t>Referensi pengukuran sensor PV dan kalibrasi lapangan</t>
        </is>
      </c>
      <c r="F33" s="12" t="n">
        <v>1</v>
      </c>
      <c r="G33" s="12" t="n">
        <v>1</v>
      </c>
      <c r="H33" s="84" t="n">
        <v>1500000</v>
      </c>
      <c r="I33" s="84" t="inlineStr">
        <is>
          <t>unit</t>
        </is>
      </c>
      <c r="J33" s="84">
        <f>F33*G33*H33</f>
        <v/>
      </c>
      <c r="K33" s="84">
        <f>J33-L33</f>
        <v/>
      </c>
      <c r="L33" s="84" t="n">
        <v>0</v>
      </c>
      <c r="M33" s="12" t="inlineStr">
        <is>
          <t>HPS vendor; aset institusi</t>
        </is>
      </c>
    </row>
    <row r="34" ht="34" customHeight="1">
      <c r="A34" s="44" t="n"/>
      <c r="B34" s="44" t="n"/>
      <c r="C34" s="44" t="inlineStr">
        <is>
          <t>Subtotal</t>
        </is>
      </c>
      <c r="D34" s="44" t="n"/>
      <c r="E34" s="44" t="n"/>
      <c r="F34" s="44" t="n"/>
      <c r="G34" s="44" t="n"/>
      <c r="H34" s="85" t="n"/>
      <c r="I34" s="85" t="n"/>
      <c r="J34" s="85" t="n">
        <v>75750000</v>
      </c>
      <c r="K34" s="85" t="n">
        <v>75750000</v>
      </c>
      <c r="L34" s="85" t="n">
        <v>0</v>
      </c>
      <c r="M34" s="44" t="n"/>
    </row>
    <row r="35" ht="34" customHeight="1">
      <c r="A35" s="43" t="n"/>
      <c r="B35" s="43" t="inlineStr">
        <is>
          <t>B.1.2</t>
        </is>
      </c>
      <c r="C35" s="43" t="inlineStr">
        <is>
          <t>Belanja Modal Instrumentasi</t>
        </is>
      </c>
      <c r="D35" s="43" t="n"/>
      <c r="E35" s="43" t="n"/>
      <c r="F35" s="43" t="n"/>
      <c r="G35" s="43" t="n"/>
      <c r="H35" s="83" t="n"/>
      <c r="I35" s="83" t="n"/>
      <c r="J35" s="83" t="n"/>
      <c r="K35" s="83" t="n"/>
      <c r="L35" s="83" t="n"/>
      <c r="M35" s="43" t="n"/>
    </row>
    <row r="36" ht="34" customHeight="1">
      <c r="A36" s="12" t="n"/>
      <c r="B36" s="12" t="n"/>
      <c r="C36" s="12" t="n">
        <v>1</v>
      </c>
      <c r="D36" s="12" t="inlineStr">
        <is>
          <t>Industrial IoT gateway</t>
        </is>
      </c>
      <c r="E36" s="12" t="inlineStr">
        <is>
          <t>Akuisisi OCPP/Modbus/MQTT, buffering, watchdog</t>
        </is>
      </c>
      <c r="F36" s="12" t="n">
        <v>2</v>
      </c>
      <c r="G36" s="12" t="n">
        <v>1</v>
      </c>
      <c r="H36" s="84" t="n">
        <v>1500000</v>
      </c>
      <c r="I36" s="84" t="inlineStr">
        <is>
          <t>unit</t>
        </is>
      </c>
      <c r="J36" s="84" t="n">
        <v>3000000</v>
      </c>
      <c r="K36" s="84" t="n">
        <v>3000000</v>
      </c>
      <c r="L36" s="84" t="n">
        <v>0</v>
      </c>
      <c r="M36" s="12" t="inlineStr">
        <is>
          <t>Aset institusi</t>
        </is>
      </c>
    </row>
    <row r="37" ht="34" customHeight="1">
      <c r="A37" s="12" t="n"/>
      <c r="B37" s="12" t="n"/>
      <c r="C37" s="12" t="n">
        <v>2</v>
      </c>
      <c r="D37" s="12" t="inlineStr">
        <is>
          <t>Embedded edge controller</t>
        </is>
      </c>
      <c r="E37" s="12" t="inlineStr">
        <is>
          <t>Eksekusi inferensi AI, buffering, store-and-forward</t>
        </is>
      </c>
      <c r="F37" s="12" t="n">
        <v>1</v>
      </c>
      <c r="G37" s="12" t="n">
        <v>1</v>
      </c>
      <c r="H37" s="84" t="n">
        <v>5000000</v>
      </c>
      <c r="I37" s="84" t="inlineStr">
        <is>
          <t>unit</t>
        </is>
      </c>
      <c r="J37" s="84" t="n">
        <v>5000000</v>
      </c>
      <c r="K37" s="84" t="n">
        <v>5000000</v>
      </c>
      <c r="L37" s="84" t="n">
        <v>0</v>
      </c>
      <c r="M37" s="12" t="inlineStr">
        <is>
          <t>Aset institusi</t>
        </is>
      </c>
    </row>
    <row r="38" ht="34" customHeight="1">
      <c r="A38" s="12" t="n"/>
      <c r="B38" s="12" t="n"/>
      <c r="C38" s="12" t="n">
        <v>3</v>
      </c>
      <c r="D38" s="12" t="inlineStr">
        <is>
          <t>Energy meter tiga fasa</t>
        </is>
      </c>
      <c r="E38" s="12" t="inlineStr">
        <is>
          <t>Metering daya grid, charger, beban</t>
        </is>
      </c>
      <c r="F38" s="12" t="n">
        <v>2</v>
      </c>
      <c r="G38" s="12" t="n">
        <v>1</v>
      </c>
      <c r="H38" s="84" t="n">
        <v>1500000</v>
      </c>
      <c r="I38" s="84" t="inlineStr">
        <is>
          <t>unit</t>
        </is>
      </c>
      <c r="J38" s="84" t="n">
        <v>3000000</v>
      </c>
      <c r="K38" s="84" t="n">
        <v>3000000</v>
      </c>
      <c r="L38" s="84" t="n">
        <v>0</v>
      </c>
      <c r="M38" s="12" t="inlineStr">
        <is>
          <t>Aset institusi</t>
        </is>
      </c>
    </row>
    <row r="39" ht="34" customHeight="1">
      <c r="A39" s="12" t="n"/>
      <c r="B39" s="12" t="n"/>
      <c r="C39" s="12" t="n">
        <v>4</v>
      </c>
      <c r="D39" s="12" t="inlineStr">
        <is>
          <t>Weather station + pyranometer</t>
        </is>
      </c>
      <c r="E39" s="12" t="inlineStr">
        <is>
          <t>Sensor iradiasi, suhu, kelembaban</t>
        </is>
      </c>
      <c r="F39" s="12" t="n">
        <v>1</v>
      </c>
      <c r="G39" s="12" t="n">
        <v>1</v>
      </c>
      <c r="H39" s="84" t="n">
        <v>5500000</v>
      </c>
      <c r="I39" s="84" t="inlineStr">
        <is>
          <t>unit</t>
        </is>
      </c>
      <c r="J39" s="84" t="n">
        <v>5500000</v>
      </c>
      <c r="K39" s="84" t="n">
        <v>5500000</v>
      </c>
      <c r="L39" s="84" t="n">
        <v>0</v>
      </c>
      <c r="M39" s="12" t="inlineStr">
        <is>
          <t>Aset institusi</t>
        </is>
      </c>
    </row>
    <row r="40" ht="34" customHeight="1">
      <c r="A40" s="12" t="n"/>
      <c r="B40" s="12" t="n"/>
      <c r="C40" s="12" t="n">
        <v>5</v>
      </c>
      <c r="D40" s="12" t="inlineStr">
        <is>
          <t>Managed switch industri + 4G router</t>
        </is>
      </c>
      <c r="E40" s="12" t="inlineStr">
        <is>
          <t>Segmentasi jaringan OT/IoT + konektivitas</t>
        </is>
      </c>
      <c r="F40" s="12" t="n">
        <v>1</v>
      </c>
      <c r="G40" s="12" t="n">
        <v>1</v>
      </c>
      <c r="H40" s="84" t="n">
        <v>4000000</v>
      </c>
      <c r="I40" s="84" t="inlineStr">
        <is>
          <t>unit</t>
        </is>
      </c>
      <c r="J40" s="84" t="n">
        <v>4000000</v>
      </c>
      <c r="K40" s="84" t="n">
        <v>4000000</v>
      </c>
      <c r="L40" s="84" t="n">
        <v>0</v>
      </c>
      <c r="M40" s="12" t="inlineStr">
        <is>
          <t>Aset institusi</t>
        </is>
      </c>
    </row>
    <row r="41" ht="34" customHeight="1">
      <c r="A41" s="12" t="n"/>
      <c r="B41" s="12" t="n"/>
      <c r="C41" s="12" t="n">
        <v>6</v>
      </c>
      <c r="D41" s="12" t="inlineStr">
        <is>
          <t>Edge storage NAS 4TB</t>
        </is>
      </c>
      <c r="E41" s="12" t="inlineStr">
        <is>
          <t>Penyimpanan telemetri, log inferensi, backup</t>
        </is>
      </c>
      <c r="F41" s="12" t="n">
        <v>1</v>
      </c>
      <c r="G41" s="12" t="n">
        <v>1</v>
      </c>
      <c r="H41" s="84" t="n">
        <v>4000000</v>
      </c>
      <c r="I41" s="84" t="inlineStr">
        <is>
          <t>unit</t>
        </is>
      </c>
      <c r="J41" s="84" t="n">
        <v>4000000</v>
      </c>
      <c r="K41" s="84" t="n">
        <v>4000000</v>
      </c>
      <c r="L41" s="84" t="n">
        <v>0</v>
      </c>
      <c r="M41" s="12" t="inlineStr">
        <is>
          <t>Aset institusi</t>
        </is>
      </c>
    </row>
    <row r="42" ht="34" customHeight="1">
      <c r="A42" s="12" t="n"/>
      <c r="B42" s="12" t="n"/>
      <c r="C42" s="12" t="inlineStr">
        <is>
          <t>Subtotal</t>
        </is>
      </c>
      <c r="D42" s="12" t="inlineStr">
        <is>
          <t>Contactor dan solid-state relay</t>
        </is>
      </c>
      <c r="E42" s="12" t="inlineStr">
        <is>
          <t>Switching beban dan load prioritization</t>
        </is>
      </c>
      <c r="F42" s="12" t="n">
        <v>8</v>
      </c>
      <c r="G42" s="12" t="n">
        <v>1</v>
      </c>
      <c r="H42" s="84" t="n">
        <v>500000</v>
      </c>
      <c r="I42" s="84" t="inlineStr">
        <is>
          <t>set</t>
        </is>
      </c>
      <c r="J42" s="84" t="n">
        <v>24500000</v>
      </c>
      <c r="K42" s="84" t="n">
        <v>24500000</v>
      </c>
      <c r="L42" s="84" t="n">
        <v>0</v>
      </c>
      <c r="M42" s="12" t="inlineStr">
        <is>
          <t>Komponen terintegrasi dalam purwarupa</t>
        </is>
      </c>
    </row>
    <row r="43" ht="34" customHeight="1">
      <c r="A43" s="12" t="n"/>
      <c r="B43" s="12" t="inlineStr">
        <is>
          <t>B.1.3</t>
        </is>
      </c>
      <c r="C43" s="12" t="inlineStr">
        <is>
          <t>Bahan Habis Pakai &amp; Komponen Pendukung</t>
        </is>
      </c>
      <c r="D43" s="12" t="inlineStr">
        <is>
          <t>Paket MCB/MCCB/SPD/fuse</t>
        </is>
      </c>
      <c r="E43" s="12" t="inlineStr">
        <is>
          <t>Proteksi arus lebih, hubung singkat dan surge</t>
        </is>
      </c>
      <c r="F43" s="12" t="n">
        <v>1</v>
      </c>
      <c r="G43" s="12" t="n">
        <v>1</v>
      </c>
      <c r="H43" s="84" t="n">
        <v>6000000</v>
      </c>
      <c r="I43" s="84" t="inlineStr">
        <is>
          <t>paket</t>
        </is>
      </c>
      <c r="J43" s="84">
        <f>F43*G43*H43</f>
        <v/>
      </c>
      <c r="K43" s="84">
        <f>J43-L43</f>
        <v/>
      </c>
      <c r="L43" s="84" t="n">
        <v>0</v>
      </c>
      <c r="M43" s="12" t="inlineStr">
        <is>
          <t>Bahan prototipe</t>
        </is>
      </c>
    </row>
    <row r="44" ht="34" customHeight="1">
      <c r="A44" s="12" t="n"/>
      <c r="B44" s="12" t="n"/>
      <c r="C44" s="12" t="n">
        <v>1</v>
      </c>
      <c r="D44" s="12" t="inlineStr">
        <is>
          <t>Set sensor arus (CT) dan tegangan</t>
        </is>
      </c>
      <c r="E44" s="12" t="inlineStr">
        <is>
          <t>Monitoring arus/tegangan PV, BESS, grid, charger</t>
        </is>
      </c>
      <c r="F44" s="12" t="n">
        <v>6</v>
      </c>
      <c r="G44" s="12" t="n">
        <v>1</v>
      </c>
      <c r="H44" s="84" t="n">
        <v>300000</v>
      </c>
      <c r="I44" s="84" t="inlineStr">
        <is>
          <t>unit</t>
        </is>
      </c>
      <c r="J44" s="84" t="n">
        <v>1800000</v>
      </c>
      <c r="K44" s="84" t="n">
        <v>1800000</v>
      </c>
      <c r="L44" s="84" t="n">
        <v>0</v>
      </c>
      <c r="M44" s="12" t="inlineStr">
        <is>
          <t>Komponen purwarupa</t>
        </is>
      </c>
    </row>
    <row r="45" ht="34" customHeight="1">
      <c r="A45" s="12" t="n"/>
      <c r="B45" s="12" t="n"/>
      <c r="C45" s="12" t="n">
        <v>2</v>
      </c>
      <c r="D45" s="12" t="inlineStr">
        <is>
          <t>Sensor temperatur multipoint DS18B20</t>
        </is>
      </c>
      <c r="E45" s="12" t="inlineStr">
        <is>
          <t>Monitoring panel, BESS, enclosure</t>
        </is>
      </c>
      <c r="F45" s="12" t="n">
        <v>8</v>
      </c>
      <c r="G45" s="12" t="n">
        <v>1</v>
      </c>
      <c r="H45" s="84" t="n">
        <v>100000</v>
      </c>
      <c r="I45" s="84" t="inlineStr">
        <is>
          <t>unit</t>
        </is>
      </c>
      <c r="J45" s="84" t="n">
        <v>800000</v>
      </c>
      <c r="K45" s="84" t="n">
        <v>800000</v>
      </c>
      <c r="L45" s="84" t="n">
        <v>0</v>
      </c>
      <c r="M45" s="12" t="inlineStr">
        <is>
          <t>Komponen purwarupa</t>
        </is>
      </c>
    </row>
    <row r="46" ht="34" customHeight="1">
      <c r="A46" s="12" t="n"/>
      <c r="B46" s="12" t="n"/>
      <c r="C46" s="12" t="n">
        <v>3</v>
      </c>
      <c r="D46" s="12" t="inlineStr">
        <is>
          <t>RS485–Ethernet + CAN converter</t>
        </is>
      </c>
      <c r="E46" s="12" t="inlineStr">
        <is>
          <t>Integrasi inverter, BMS, meter ke gateway</t>
        </is>
      </c>
      <c r="F46" s="12" t="n">
        <v>4</v>
      </c>
      <c r="G46" s="12" t="n">
        <v>1</v>
      </c>
      <c r="H46" s="84" t="n">
        <v>350000</v>
      </c>
      <c r="I46" s="84" t="inlineStr">
        <is>
          <t>unit</t>
        </is>
      </c>
      <c r="J46" s="84" t="n">
        <v>1400000</v>
      </c>
      <c r="K46" s="84" t="n">
        <v>1400000</v>
      </c>
      <c r="L46" s="84" t="n">
        <v>0</v>
      </c>
      <c r="M46" s="12" t="inlineStr">
        <is>
          <t>Komponen purwarupa</t>
        </is>
      </c>
    </row>
    <row r="47" ht="34" customHeight="1">
      <c r="A47" s="12" t="n"/>
      <c r="B47" s="12" t="n"/>
      <c r="C47" s="12" t="n">
        <v>4</v>
      </c>
      <c r="D47" s="12" t="inlineStr">
        <is>
          <t>MCB, MCCB, SPD, fuse, enclosure IP65</t>
        </is>
      </c>
      <c r="E47" s="12" t="inlineStr">
        <is>
          <t>Proteksi dan panel distribusi daya</t>
        </is>
      </c>
      <c r="F47" s="12" t="n">
        <v>1</v>
      </c>
      <c r="G47" s="12" t="n">
        <v>1</v>
      </c>
      <c r="H47" s="84" t="n">
        <v>5000000</v>
      </c>
      <c r="I47" s="84" t="inlineStr">
        <is>
          <t>paket</t>
        </is>
      </c>
      <c r="J47" s="84" t="n">
        <v>5000000</v>
      </c>
      <c r="K47" s="84" t="n">
        <v>5000000</v>
      </c>
      <c r="L47" s="84" t="n">
        <v>0</v>
      </c>
      <c r="M47" s="12" t="inlineStr">
        <is>
          <t>Bahan prototipe</t>
        </is>
      </c>
    </row>
    <row r="48" ht="34" customHeight="1">
      <c r="A48" s="12" t="n"/>
      <c r="B48" s="12" t="n"/>
      <c r="C48" s="12" t="n">
        <v>5</v>
      </c>
      <c r="D48" s="12" t="inlineStr">
        <is>
          <t>Terminal, cable gland, wiring, PCB, protoboard</t>
        </is>
      </c>
      <c r="E48" s="12" t="inlineStr">
        <is>
          <t>Perakitan panel dan node sensor</t>
        </is>
      </c>
      <c r="F48" s="12" t="n">
        <v>1</v>
      </c>
      <c r="G48" s="12" t="n">
        <v>1</v>
      </c>
      <c r="H48" s="84" t="n">
        <v>3500000</v>
      </c>
      <c r="I48" s="84" t="inlineStr">
        <is>
          <t>lot</t>
        </is>
      </c>
      <c r="J48" s="84" t="n">
        <v>3500000</v>
      </c>
      <c r="K48" s="84" t="n">
        <v>3500000</v>
      </c>
      <c r="L48" s="84" t="n">
        <v>0</v>
      </c>
      <c r="M48" s="12" t="inlineStr">
        <is>
          <t>Bahan prototipe</t>
        </is>
      </c>
    </row>
    <row r="49" ht="34" customHeight="1">
      <c r="A49" s="12" t="n"/>
      <c r="B49" s="12" t="n"/>
      <c r="C49" s="12" t="n">
        <v>6</v>
      </c>
      <c r="D49" s="12" t="inlineStr">
        <is>
          <t>ESP32/Arduino sensor node kit</t>
        </is>
      </c>
      <c r="E49" s="12" t="inlineStr">
        <is>
          <t>Node akuisisi data tambahan</t>
        </is>
      </c>
      <c r="F49" s="12" t="n">
        <v>4</v>
      </c>
      <c r="G49" s="12" t="n">
        <v>1</v>
      </c>
      <c r="H49" s="84" t="n">
        <v>400000</v>
      </c>
      <c r="I49" s="84" t="inlineStr">
        <is>
          <t>set</t>
        </is>
      </c>
      <c r="J49" s="84" t="n">
        <v>1600000</v>
      </c>
      <c r="K49" s="84" t="n">
        <v>1600000</v>
      </c>
      <c r="L49" s="84" t="n">
        <v>0</v>
      </c>
      <c r="M49" s="12" t="inlineStr">
        <is>
          <t>Komponen purwarupa</t>
        </is>
      </c>
    </row>
    <row r="50" ht="34" customHeight="1">
      <c r="A50" s="44" t="n"/>
      <c r="B50" s="44" t="n"/>
      <c r="C50" s="44" t="n">
        <v>7</v>
      </c>
      <c r="D50" s="44" t="inlineStr">
        <is>
          <t>Industrial data cable + connector</t>
        </is>
      </c>
      <c r="E50" s="44" t="inlineStr">
        <is>
          <t>Kabel RS485/CAN/Ethernet</t>
        </is>
      </c>
      <c r="F50" s="44" t="n">
        <v>1</v>
      </c>
      <c r="G50" s="44" t="n">
        <v>1</v>
      </c>
      <c r="H50" s="85" t="n">
        <v>1500000</v>
      </c>
      <c r="I50" s="85" t="inlineStr">
        <is>
          <t>lot</t>
        </is>
      </c>
      <c r="J50" s="85" t="n">
        <v>1500000</v>
      </c>
      <c r="K50" s="85" t="n">
        <v>1500000</v>
      </c>
      <c r="L50" s="85" t="n">
        <v>0</v>
      </c>
      <c r="M50" s="44" t="inlineStr">
        <is>
          <t>Bahan prototipe</t>
        </is>
      </c>
    </row>
    <row r="51" ht="34" customHeight="1">
      <c r="A51" s="44" t="n"/>
      <c r="B51" s="44" t="inlineStr">
        <is>
          <t>Total Indikator</t>
        </is>
      </c>
      <c r="C51" s="44" t="n"/>
      <c r="D51" s="44" t="n"/>
      <c r="E51" s="44" t="n"/>
      <c r="F51" s="44" t="n"/>
      <c r="G51" s="44" t="n"/>
      <c r="H51" s="85" t="n"/>
      <c r="I51" s="85" t="n"/>
      <c r="J51" s="85">
        <f>J24+J34+J50</f>
        <v/>
      </c>
      <c r="K51" s="85">
        <f>K24+K34+K50</f>
        <v/>
      </c>
      <c r="L51" s="85">
        <f>L24+L34+L50</f>
        <v/>
      </c>
      <c r="M51" s="44" t="n"/>
    </row>
    <row r="52" ht="34" customHeight="1">
      <c r="A52" s="42" t="n"/>
      <c r="B52" s="42" t="inlineStr">
        <is>
          <t>B.2</t>
        </is>
      </c>
      <c r="C52" s="42" t="inlineStr">
        <is>
          <t>Indikator 2</t>
        </is>
      </c>
      <c r="D52" s="42" t="inlineStr">
        <is>
          <t>AI–IoT–EMS, pengujian, KI dan kesiapan pilot</t>
        </is>
      </c>
      <c r="E52" s="42" t="inlineStr">
        <is>
          <t>Pengembangan perangkat lunak, validasi, dokumentasi dan persiapan lokasi.</t>
        </is>
      </c>
      <c r="F52" s="42" t="n"/>
      <c r="G52" s="42" t="n"/>
      <c r="H52" s="82" t="n"/>
      <c r="I52" s="82" t="n"/>
      <c r="J52" s="82" t="n"/>
      <c r="K52" s="82" t="n"/>
      <c r="L52" s="82" t="n"/>
      <c r="M52" s="42" t="n"/>
    </row>
    <row r="53" ht="34" customHeight="1">
      <c r="A53" s="43" t="n"/>
      <c r="B53" s="43" t="inlineStr">
        <is>
          <t>B.2.1</t>
        </is>
      </c>
      <c r="C53" s="43" t="inlineStr">
        <is>
          <t>Jasa Pengembangan Perangkat Lunak</t>
        </is>
      </c>
      <c r="D53" s="43" t="n"/>
      <c r="E53" s="43" t="n"/>
      <c r="F53" s="43" t="n"/>
      <c r="G53" s="43" t="n"/>
      <c r="H53" s="83" t="n"/>
      <c r="I53" s="83" t="n"/>
      <c r="J53" s="83" t="n"/>
      <c r="K53" s="83" t="n"/>
      <c r="L53" s="83" t="n"/>
      <c r="M53" s="43" t="n"/>
    </row>
    <row r="54" ht="34" customHeight="1">
      <c r="A54" s="12" t="n"/>
      <c r="B54" s="12" t="n"/>
      <c r="C54" s="12" t="n">
        <v>1</v>
      </c>
      <c r="D54" s="12" t="inlineStr">
        <is>
          <t>Pengembangan firmware gateway</t>
        </is>
      </c>
      <c r="E54" s="12" t="inlineStr">
        <is>
          <t>OCPP/Modbus/MQTT, buffering, watchdog dan OTA</t>
        </is>
      </c>
      <c r="F54" s="12" t="n">
        <v>1</v>
      </c>
      <c r="G54" s="12" t="n">
        <v>1</v>
      </c>
      <c r="H54" s="84" t="n">
        <v>10000000</v>
      </c>
      <c r="I54" s="84" t="inlineStr">
        <is>
          <t>paket</t>
        </is>
      </c>
      <c r="J54" s="84">
        <f>F54*G54*H54</f>
        <v/>
      </c>
      <c r="K54" s="84">
        <f>J54-L54</f>
        <v/>
      </c>
      <c r="L54" s="84" t="n">
        <v>0</v>
      </c>
      <c r="M54" s="12" t="inlineStr">
        <is>
          <t>HPS jasa teknis</t>
        </is>
      </c>
    </row>
    <row r="55" ht="34" customHeight="1">
      <c r="A55" s="12" t="n"/>
      <c r="B55" s="12" t="n"/>
      <c r="C55" s="12" t="inlineStr">
        <is>
          <t>Subtotal</t>
        </is>
      </c>
      <c r="D55" s="12" t="inlineStr">
        <is>
          <t>Pengembangan backend, CSMS/CMS dan dashboard</t>
        </is>
      </c>
      <c r="E55" s="12" t="inlineStr">
        <is>
          <t>API, database dan dashboard energi/layanan digital</t>
        </is>
      </c>
      <c r="F55" s="12" t="n">
        <v>1</v>
      </c>
      <c r="G55" s="12" t="n">
        <v>1</v>
      </c>
      <c r="H55" s="84" t="n">
        <v>12000000</v>
      </c>
      <c r="I55" s="84" t="inlineStr">
        <is>
          <t>paket</t>
        </is>
      </c>
      <c r="J55" s="84" t="n">
        <v>15600000</v>
      </c>
      <c r="K55" s="84" t="n">
        <v>15600000</v>
      </c>
      <c r="L55" s="84" t="n">
        <v>0</v>
      </c>
      <c r="M55" s="12" t="inlineStr">
        <is>
          <t>HPS jasa teknis</t>
        </is>
      </c>
    </row>
    <row r="56" ht="34" customHeight="1">
      <c r="A56" s="12" t="n"/>
      <c r="B56" s="12" t="inlineStr">
        <is>
          <t>Total Indikator 1</t>
        </is>
      </c>
      <c r="C56" s="12" t="n">
        <v>3</v>
      </c>
      <c r="D56" s="12" t="inlineStr">
        <is>
          <t>Pengembangan EMS dan model AI v1</t>
        </is>
      </c>
      <c r="E56" s="12" t="inlineStr">
        <is>
          <t>Forecasting, anomaly detection, peak shaving dan fallback</t>
        </is>
      </c>
      <c r="F56" s="12" t="n">
        <v>1</v>
      </c>
      <c r="G56" s="12" t="n">
        <v>1</v>
      </c>
      <c r="H56" s="84" t="n">
        <v>8000000</v>
      </c>
      <c r="I56" s="84" t="inlineStr">
        <is>
          <t>paket</t>
        </is>
      </c>
      <c r="J56" s="84" t="n">
        <v>115850000</v>
      </c>
      <c r="K56" s="84" t="n">
        <v>115850000</v>
      </c>
      <c r="L56" s="84" t="n">
        <v>0</v>
      </c>
      <c r="M56" s="12" t="inlineStr">
        <is>
          <t>HPS jasa teknis</t>
        </is>
      </c>
    </row>
    <row r="57" ht="34" customHeight="1">
      <c r="A57" s="12" t="n"/>
      <c r="B57" s="12" t="inlineStr">
        <is>
          <t>B.2</t>
        </is>
      </c>
      <c r="C57" s="12" t="inlineStr">
        <is>
          <t>Indikator 2</t>
        </is>
      </c>
      <c r="D57" s="12" t="inlineStr">
        <is>
          <t>Pengembangan pipeline AI, perangkat lunak, pengujian, dan luaran</t>
        </is>
      </c>
      <c r="E57" s="12" t="inlineStr">
        <is>
          <t>Pengembangan data integrity layer, hybrid ensemble, CPTS, EMS, dashboard, uji dan dokumentasi.</t>
        </is>
      </c>
      <c r="F57" s="12" t="n">
        <v>1</v>
      </c>
      <c r="G57" s="12" t="n">
        <v>1</v>
      </c>
      <c r="H57" s="84" t="n">
        <v>5000000</v>
      </c>
      <c r="I57" s="84" t="inlineStr">
        <is>
          <t>paket</t>
        </is>
      </c>
      <c r="J57" s="84">
        <f>F57*G57*H57</f>
        <v/>
      </c>
      <c r="K57" s="84">
        <f>J57-L57</f>
        <v/>
      </c>
      <c r="L57" s="84" t="n">
        <v>0</v>
      </c>
      <c r="M57" s="12" t="inlineStr">
        <is>
          <t>HPS layanan</t>
        </is>
      </c>
    </row>
    <row r="58" ht="34" customHeight="1">
      <c r="A58" s="44" t="n"/>
      <c r="B58" s="44" t="inlineStr">
        <is>
          <t>B.2.1</t>
        </is>
      </c>
      <c r="C58" s="44" t="inlineStr">
        <is>
          <t>Jasa Pengembangan Perangkat Lunak</t>
        </is>
      </c>
      <c r="D58" s="44" t="n"/>
      <c r="E58" s="44" t="n"/>
      <c r="F58" s="44" t="n"/>
      <c r="G58" s="44" t="n"/>
      <c r="H58" s="85" t="n"/>
      <c r="I58" s="85" t="n"/>
      <c r="J58" s="85">
        <f>SUM(J54:J57)</f>
        <v/>
      </c>
      <c r="K58" s="85">
        <f>SUM(K54:K57)</f>
        <v/>
      </c>
      <c r="L58" s="85">
        <f>SUM(L54:L57)</f>
        <v/>
      </c>
      <c r="M58" s="44" t="n"/>
    </row>
    <row r="59" ht="34" customHeight="1">
      <c r="A59" s="43" t="n"/>
      <c r="B59" s="43" t="inlineStr">
        <is>
          <t>B.2.2</t>
        </is>
      </c>
      <c r="C59" s="43" t="n">
        <v>1</v>
      </c>
      <c r="D59" s="43" t="inlineStr">
        <is>
          <t>Pengembangan data integrity layer</t>
        </is>
      </c>
      <c r="E59" s="43" t="inlineStr">
        <is>
          <t>Data quality scoring, anomaly detection, OCPP/Modbus ingestion</t>
        </is>
      </c>
      <c r="F59" s="43" t="n">
        <v>1</v>
      </c>
      <c r="G59" s="43" t="n">
        <v>1</v>
      </c>
      <c r="H59" s="83" t="n">
        <v>8000000</v>
      </c>
      <c r="I59" s="83" t="inlineStr">
        <is>
          <t>paket</t>
        </is>
      </c>
      <c r="J59" s="83" t="n">
        <v>8000000</v>
      </c>
      <c r="K59" s="83" t="n">
        <v>8000000</v>
      </c>
      <c r="L59" s="83" t="n">
        <v>0</v>
      </c>
      <c r="M59" s="43" t="inlineStr">
        <is>
          <t>HPS jasa teknis</t>
        </is>
      </c>
    </row>
    <row r="60" ht="34" customHeight="1">
      <c r="A60" s="12" t="n"/>
      <c r="B60" s="12" t="n"/>
      <c r="C60" s="12" t="n">
        <v>2</v>
      </c>
      <c r="D60" s="12" t="inlineStr">
        <is>
          <t>Pengembangan hybrid ensemble forecasting</t>
        </is>
      </c>
      <c r="E60" s="12" t="inlineStr">
        <is>
          <t>LSTM, TCN, LightGBM, bobot adaptif weighted ensemble</t>
        </is>
      </c>
      <c r="F60" s="12" t="n">
        <v>1</v>
      </c>
      <c r="G60" s="12" t="n">
        <v>1</v>
      </c>
      <c r="H60" s="84" t="n">
        <v>9000000</v>
      </c>
      <c r="I60" s="84" t="inlineStr">
        <is>
          <t>paket</t>
        </is>
      </c>
      <c r="J60" s="84" t="n">
        <v>9000000</v>
      </c>
      <c r="K60" s="84" t="n">
        <v>9000000</v>
      </c>
      <c r="L60" s="84" t="n">
        <v>0</v>
      </c>
      <c r="M60" s="12" t="inlineStr">
        <is>
          <t>HPS jasa teknis</t>
        </is>
      </c>
    </row>
    <row r="61" ht="34" customHeight="1">
      <c r="A61" s="12" t="n"/>
      <c r="B61" s="12" t="n"/>
      <c r="C61" s="12" t="n">
        <v>3</v>
      </c>
      <c r="D61" s="12" t="inlineStr">
        <is>
          <t>Pengembangan CPTS dan EMS core</t>
        </is>
      </c>
      <c r="E61" s="12" t="inlineStr">
        <is>
          <t>Cyber-physical trust score, rolling horizon MPC, CPTS-aware optimization</t>
        </is>
      </c>
      <c r="F61" s="12" t="n">
        <v>1</v>
      </c>
      <c r="G61" s="12" t="n">
        <v>1</v>
      </c>
      <c r="H61" s="84" t="n">
        <v>9000000</v>
      </c>
      <c r="I61" s="84" t="inlineStr">
        <is>
          <t>paket</t>
        </is>
      </c>
      <c r="J61" s="84" t="n">
        <v>9000000</v>
      </c>
      <c r="K61" s="84" t="n">
        <v>9000000</v>
      </c>
      <c r="L61" s="84" t="n">
        <v>0</v>
      </c>
      <c r="M61" s="12" t="inlineStr">
        <is>
          <t>HPS jasa teknis</t>
        </is>
      </c>
    </row>
    <row r="62" ht="34" customHeight="1">
      <c r="A62" s="12" t="n"/>
      <c r="B62" s="12" t="n"/>
      <c r="C62" s="12" t="n">
        <v>4</v>
      </c>
      <c r="D62" s="12" t="inlineStr">
        <is>
          <t>Pengembangan drift-adaptive retraining</t>
        </is>
      </c>
      <c r="E62" s="12" t="inlineStr">
        <is>
          <t>Monitoring drift, trigger retraining, model versioning</t>
        </is>
      </c>
      <c r="F62" s="12" t="n">
        <v>1</v>
      </c>
      <c r="G62" s="12" t="n">
        <v>1</v>
      </c>
      <c r="H62" s="84" t="n">
        <v>7000000</v>
      </c>
      <c r="I62" s="84" t="inlineStr">
        <is>
          <t>paket</t>
        </is>
      </c>
      <c r="J62" s="84" t="n">
        <v>7000000</v>
      </c>
      <c r="K62" s="84" t="n">
        <v>7000000</v>
      </c>
      <c r="L62" s="84" t="n">
        <v>0</v>
      </c>
      <c r="M62" s="12" t="inlineStr">
        <is>
          <t>HPS jasa teknis</t>
        </is>
      </c>
    </row>
    <row r="63" ht="34" customHeight="1">
      <c r="A63" s="12" t="n"/>
      <c r="B63" s="12" t="n"/>
      <c r="C63" s="12" t="n">
        <v>5</v>
      </c>
      <c r="D63" s="12" t="inlineStr">
        <is>
          <t>Pengembangan backend, CSMS, dashboard</t>
        </is>
      </c>
      <c r="E63" s="12" t="inlineStr">
        <is>
          <t>API, database, dashboard real-time, visualisasi CPTS+KPI</t>
        </is>
      </c>
      <c r="F63" s="12" t="n">
        <v>1</v>
      </c>
      <c r="G63" s="12" t="n">
        <v>1</v>
      </c>
      <c r="H63" s="84" t="n">
        <v>7000000</v>
      </c>
      <c r="I63" s="84" t="inlineStr">
        <is>
          <t>paket</t>
        </is>
      </c>
      <c r="J63" s="84" t="n">
        <v>7000000</v>
      </c>
      <c r="K63" s="84" t="n">
        <v>7000000</v>
      </c>
      <c r="L63" s="84" t="n">
        <v>0</v>
      </c>
      <c r="M63" s="12" t="inlineStr">
        <is>
          <t>HPS jasa teknis</t>
        </is>
      </c>
    </row>
    <row r="64" ht="34" customHeight="1">
      <c r="A64" s="12" t="n"/>
      <c r="B64" s="12" t="n"/>
      <c r="C64" s="12" t="n">
        <v>6</v>
      </c>
      <c r="D64" s="12" t="inlineStr">
        <is>
          <t>Cloud VPS + object storage (6 bln)</t>
        </is>
      </c>
      <c r="E64" s="12" t="inlineStr">
        <is>
          <t>Server, storage, TLS/VPN, RBAC, backup, audit log</t>
        </is>
      </c>
      <c r="F64" s="12" t="n">
        <v>1</v>
      </c>
      <c r="G64" s="12" t="n">
        <v>1</v>
      </c>
      <c r="H64" s="84" t="n">
        <v>5000000</v>
      </c>
      <c r="I64" s="84" t="inlineStr">
        <is>
          <t>paket</t>
        </is>
      </c>
      <c r="J64" s="84" t="n">
        <v>5000000</v>
      </c>
      <c r="K64" s="84" t="n">
        <v>5000000</v>
      </c>
      <c r="L64" s="84" t="n">
        <v>0</v>
      </c>
      <c r="M64" s="12" t="inlineStr">
        <is>
          <t>HPS layanan cloud</t>
        </is>
      </c>
    </row>
    <row r="65" ht="34" customHeight="1">
      <c r="A65" s="44" t="n"/>
      <c r="B65" s="44" t="n"/>
      <c r="C65" s="44" t="inlineStr">
        <is>
          <t>Subtotal</t>
        </is>
      </c>
      <c r="D65" s="44" t="n"/>
      <c r="E65" s="44" t="n"/>
      <c r="F65" s="44" t="n"/>
      <c r="G65" s="44" t="n"/>
      <c r="H65" s="85" t="n"/>
      <c r="I65" s="85" t="n"/>
      <c r="J65" s="85" t="n">
        <v>45000000</v>
      </c>
      <c r="K65" s="85" t="n">
        <v>45000000</v>
      </c>
      <c r="L65" s="85" t="n">
        <v>0</v>
      </c>
      <c r="M65" s="44" t="n"/>
    </row>
    <row r="66" ht="34" customHeight="1">
      <c r="A66" s="44" t="n"/>
      <c r="B66" s="44" t="inlineStr">
        <is>
          <t>B.2.2</t>
        </is>
      </c>
      <c r="C66" s="44" t="inlineStr">
        <is>
          <t>Pengujian, Lapangan, dan Luaran</t>
        </is>
      </c>
      <c r="D66" s="44" t="n"/>
      <c r="E66" s="44" t="n"/>
      <c r="F66" s="44" t="n"/>
      <c r="G66" s="44" t="n"/>
      <c r="H66" s="85" t="n"/>
      <c r="I66" s="85" t="n"/>
      <c r="J66" s="85">
        <f>J58+J65</f>
        <v/>
      </c>
      <c r="K66" s="85">
        <f>K58+K65</f>
        <v/>
      </c>
      <c r="L66" s="85">
        <f>L58+L65</f>
        <v/>
      </c>
      <c r="M66" s="44" t="n"/>
    </row>
    <row r="67" ht="34" customHeight="1">
      <c r="A67" s="45" t="inlineStr">
        <is>
          <t>TOTAL BLNP</t>
        </is>
      </c>
      <c r="B67" s="45" t="n"/>
      <c r="C67" s="45" t="n">
        <v>1</v>
      </c>
      <c r="D67" s="45" t="inlineStr">
        <is>
          <t>Uji integrasi + injeksi anomali sintetik</t>
        </is>
      </c>
      <c r="E67" s="45" t="inlineStr">
        <is>
          <t>Validasi integrity layer: packet loss, drift, offset, outlier</t>
        </is>
      </c>
      <c r="F67" s="45" t="n">
        <v>1</v>
      </c>
      <c r="G67" s="45" t="n">
        <v>1</v>
      </c>
      <c r="H67" s="86" t="n">
        <v>5000000</v>
      </c>
      <c r="I67" s="86" t="inlineStr">
        <is>
          <t>paket</t>
        </is>
      </c>
      <c r="J67" s="86" t="n">
        <v>5000000</v>
      </c>
      <c r="K67" s="86" t="n">
        <v>5000000</v>
      </c>
      <c r="L67" s="86" t="n">
        <v>0</v>
      </c>
      <c r="M67" s="45" t="inlineStr">
        <is>
          <t>HPS jasa/pengujian</t>
        </is>
      </c>
    </row>
    <row r="68" ht="34" customHeight="1">
      <c r="A68" s="45" t="inlineStr">
        <is>
          <t>TOTAL I (BIAYA LANGSUNG)</t>
        </is>
      </c>
      <c r="B68" s="45" t="n"/>
      <c r="C68" s="45" t="n">
        <v>2</v>
      </c>
      <c r="D68" s="45" t="inlineStr">
        <is>
          <t>Uji kinerja forecasting dan drift detection</t>
        </is>
      </c>
      <c r="E68" s="45" t="inlineStr">
        <is>
          <t>14 skenario (D1-D7 + S0-S6), forecast skill, F1</t>
        </is>
      </c>
      <c r="F68" s="45" t="n">
        <v>1</v>
      </c>
      <c r="G68" s="45" t="n">
        <v>1</v>
      </c>
      <c r="H68" s="86" t="n">
        <v>4500000</v>
      </c>
      <c r="I68" s="86" t="inlineStr">
        <is>
          <t>paket</t>
        </is>
      </c>
      <c r="J68" s="86" t="n">
        <v>4500000</v>
      </c>
      <c r="K68" s="86" t="n">
        <v>4500000</v>
      </c>
      <c r="L68" s="86" t="n">
        <v>0</v>
      </c>
      <c r="M68" s="45" t="inlineStr">
        <is>
          <t>HPS jasa/pengujian</t>
        </is>
      </c>
    </row>
    <row r="69" ht="34" customHeight="1">
      <c r="A69" s="12" t="n"/>
      <c r="B69" s="12" t="n"/>
      <c r="C69" s="12" t="n">
        <v>3</v>
      </c>
      <c r="D69" s="12" t="inlineStr">
        <is>
          <t>Site survey, FGD, koordinasi mitra</t>
        </is>
      </c>
      <c r="E69" s="12" t="inlineStr">
        <is>
          <t>Profil beban, survei lokasi, koordinasi mitra Sleman</t>
        </is>
      </c>
      <c r="F69" s="12" t="n">
        <v>1</v>
      </c>
      <c r="G69" s="12" t="n">
        <v>1</v>
      </c>
      <c r="H69" s="84" t="n">
        <v>4000000</v>
      </c>
      <c r="I69" s="84" t="inlineStr">
        <is>
          <t>paket</t>
        </is>
      </c>
      <c r="J69" s="84" t="n">
        <v>4000000</v>
      </c>
      <c r="K69" s="84" t="n">
        <v>4000000</v>
      </c>
      <c r="L69" s="84" t="n">
        <v>0</v>
      </c>
      <c r="M69" s="12" t="inlineStr">
        <is>
          <t>SBM tahun berjalan</t>
        </is>
      </c>
    </row>
    <row r="70" ht="34" customHeight="1">
      <c r="A70" s="42" t="inlineStr">
        <is>
          <t>II.</t>
        </is>
      </c>
      <c r="B70" s="42" t="inlineStr">
        <is>
          <t>BIAYA TIDAK LANGSUNG</t>
        </is>
      </c>
      <c r="C70" s="42" t="n">
        <v>4</v>
      </c>
      <c r="D70" s="42" t="inlineStr">
        <is>
          <t>Penyusunan KI, DMP, ICD, model card</t>
        </is>
      </c>
      <c r="E70" s="42" t="inlineStr">
        <is>
          <t>Paten sederhana, data dictionary, SOP, dokumentasi teknis</t>
        </is>
      </c>
      <c r="F70" s="42" t="n">
        <v>1</v>
      </c>
      <c r="G70" s="42" t="n">
        <v>1</v>
      </c>
      <c r="H70" s="82" t="n">
        <v>4500000</v>
      </c>
      <c r="I70" s="82" t="inlineStr">
        <is>
          <t>paket</t>
        </is>
      </c>
      <c r="J70" s="82" t="n">
        <v>4500000</v>
      </c>
      <c r="K70" s="82" t="n">
        <v>4500000</v>
      </c>
      <c r="L70" s="82" t="n">
        <v>0</v>
      </c>
      <c r="M70" s="42" t="inlineStr">
        <is>
          <t>HPS jasa/DJKI</t>
        </is>
      </c>
    </row>
    <row r="71" ht="34" customHeight="1">
      <c r="A71" s="43" t="n"/>
      <c r="B71" s="43" t="inlineStr">
        <is>
          <t>A.</t>
        </is>
      </c>
      <c r="C71" s="43" t="inlineStr">
        <is>
          <t>Subtotal</t>
        </is>
      </c>
      <c r="D71" s="43" t="inlineStr">
        <is>
          <t>Review metodologi, progres, DMP dan realisasi anggaran.</t>
        </is>
      </c>
      <c r="E71" s="43" t="n"/>
      <c r="F71" s="43" t="n"/>
      <c r="G71" s="43" t="n"/>
      <c r="H71" s="83" t="n"/>
      <c r="I71" s="83" t="n"/>
      <c r="J71" s="83" t="n">
        <v>18000000</v>
      </c>
      <c r="K71" s="83" t="n">
        <v>18000000</v>
      </c>
      <c r="L71" s="83" t="n">
        <v>0</v>
      </c>
      <c r="M71" s="43" t="n"/>
    </row>
    <row r="72" ht="34" customHeight="1">
      <c r="A72" s="12" t="n"/>
      <c r="B72" s="12" t="inlineStr">
        <is>
          <t>Total Indikator 2</t>
        </is>
      </c>
      <c r="C72" s="12" t="n">
        <v>1</v>
      </c>
      <c r="D72" s="12" t="inlineStr">
        <is>
          <t>Honor reviewer internal</t>
        </is>
      </c>
      <c r="E72" s="12" t="inlineStr">
        <is>
          <t>Monev tahap I</t>
        </is>
      </c>
      <c r="F72" s="12" t="n">
        <v>2</v>
      </c>
      <c r="G72" s="12" t="n">
        <v>2</v>
      </c>
      <c r="H72" s="84" t="n">
        <v>1000000</v>
      </c>
      <c r="I72" s="84" t="inlineStr">
        <is>
          <t>OJ</t>
        </is>
      </c>
      <c r="J72" s="84" t="n">
        <v>63000000</v>
      </c>
      <c r="K72" s="84" t="n">
        <v>63000000</v>
      </c>
      <c r="L72" s="84" t="n">
        <v>0</v>
      </c>
      <c r="M72" s="12" t="inlineStr">
        <is>
          <t>SBM/internal</t>
        </is>
      </c>
    </row>
    <row r="73" ht="34" customHeight="1">
      <c r="A73" s="12" t="inlineStr">
        <is>
          <t>TOTAL BLNP</t>
        </is>
      </c>
      <c r="B73" s="12" t="n"/>
      <c r="C73" s="12" t="n">
        <v>2</v>
      </c>
      <c r="D73" s="12" t="inlineStr">
        <is>
          <t>Transportasi reviewer</t>
        </is>
      </c>
      <c r="E73" s="12" t="inlineStr">
        <is>
          <t>Monev tahap I</t>
        </is>
      </c>
      <c r="F73" s="12" t="n">
        <v>2</v>
      </c>
      <c r="G73" s="12" t="n">
        <v>1</v>
      </c>
      <c r="H73" s="84" t="n">
        <v>500000</v>
      </c>
      <c r="I73" s="84" t="inlineStr">
        <is>
          <t>perjalanan</t>
        </is>
      </c>
      <c r="J73" s="84" t="n">
        <v>178850000</v>
      </c>
      <c r="K73" s="84" t="n">
        <v>178850000</v>
      </c>
      <c r="L73" s="84" t="n">
        <v>0</v>
      </c>
      <c r="M73" s="12" t="inlineStr">
        <is>
          <t>SBM</t>
        </is>
      </c>
    </row>
    <row r="74" ht="34" customHeight="1">
      <c r="A74" s="12" t="inlineStr">
        <is>
          <t>TOTAL I (BIAYA LANGSUNG)</t>
        </is>
      </c>
      <c r="B74" s="12" t="n"/>
      <c r="C74" s="12" t="n">
        <v>3</v>
      </c>
      <c r="D74" s="12" t="inlineStr">
        <is>
          <t>Akomodasi reviewer</t>
        </is>
      </c>
      <c r="E74" s="12" t="inlineStr">
        <is>
          <t>Monev tahap I</t>
        </is>
      </c>
      <c r="F74" s="12" t="n">
        <v>1</v>
      </c>
      <c r="G74" s="12" t="n">
        <v>1</v>
      </c>
      <c r="H74" s="84" t="n">
        <v>750000</v>
      </c>
      <c r="I74" s="84" t="inlineStr">
        <is>
          <t>malam</t>
        </is>
      </c>
      <c r="J74" s="84" t="n">
        <v>231650000</v>
      </c>
      <c r="K74" s="84" t="n">
        <v>231650000</v>
      </c>
      <c r="L74" s="84" t="n">
        <v>0</v>
      </c>
      <c r="M74" s="12" t="inlineStr">
        <is>
          <t>SBM</t>
        </is>
      </c>
    </row>
    <row r="75" ht="34" customHeight="1">
      <c r="A75" s="12" t="inlineStr">
        <is>
          <t>II.</t>
        </is>
      </c>
      <c r="B75" s="12" t="inlineStr">
        <is>
          <t>BIAYA TIDAK LANGSUNG</t>
        </is>
      </c>
      <c r="C75" s="12" t="n">
        <v>4</v>
      </c>
      <c r="D75" s="12" t="inlineStr">
        <is>
          <t>Konsumsi rapat monev</t>
        </is>
      </c>
      <c r="E75" s="12" t="inlineStr">
        <is>
          <t>Monev tahap I</t>
        </is>
      </c>
      <c r="F75" s="12" t="n">
        <v>10</v>
      </c>
      <c r="G75" s="12" t="n">
        <v>1</v>
      </c>
      <c r="H75" s="84" t="n">
        <v>50000</v>
      </c>
      <c r="I75" s="84" t="inlineStr">
        <is>
          <t>orang</t>
        </is>
      </c>
      <c r="J75" s="84">
        <f>F75*G75*H75</f>
        <v/>
      </c>
      <c r="K75" s="84">
        <f>J75-L75</f>
        <v/>
      </c>
      <c r="L75" s="84" t="n">
        <v>0</v>
      </c>
      <c r="M75" s="12" t="inlineStr">
        <is>
          <t>SBM/internal</t>
        </is>
      </c>
    </row>
    <row r="76" ht="34" customHeight="1">
      <c r="A76" s="44" t="n"/>
      <c r="B76" s="44" t="inlineStr">
        <is>
          <t>A.</t>
        </is>
      </c>
      <c r="C76" s="44" t="inlineStr">
        <is>
          <t>Monitoring Internal Tahap I</t>
        </is>
      </c>
      <c r="D76" s="44" t="inlineStr">
        <is>
          <t>Review metodologi, progres, DMP dan realisasi anggaran</t>
        </is>
      </c>
      <c r="E76" s="44" t="n"/>
      <c r="F76" s="44" t="n"/>
      <c r="G76" s="44" t="n"/>
      <c r="H76" s="85" t="n"/>
      <c r="I76" s="85" t="n"/>
      <c r="J76" s="85">
        <f>SUM(J72:J75)</f>
        <v/>
      </c>
      <c r="K76" s="85">
        <f>SUM(K72:K75)</f>
        <v/>
      </c>
      <c r="L76" s="85">
        <f>SUM(L72:L75)</f>
        <v/>
      </c>
      <c r="M76" s="44" t="n"/>
    </row>
    <row r="77" ht="34" customHeight="1">
      <c r="A77" s="43" t="n"/>
      <c r="B77" s="43" t="inlineStr">
        <is>
          <t>B.</t>
        </is>
      </c>
      <c r="C77" s="43" t="n">
        <v>1</v>
      </c>
      <c r="D77" s="43" t="inlineStr">
        <is>
          <t>Honor reviewer internal</t>
        </is>
      </c>
      <c r="E77" s="43" t="inlineStr">
        <is>
          <t>Monev tahap I</t>
        </is>
      </c>
      <c r="F77" s="43" t="n">
        <v>2</v>
      </c>
      <c r="G77" s="43" t="n">
        <v>2</v>
      </c>
      <c r="H77" s="83" t="n">
        <v>1000000</v>
      </c>
      <c r="I77" s="83" t="inlineStr">
        <is>
          <t>OJ</t>
        </is>
      </c>
      <c r="J77" s="83" t="n">
        <v>4000000</v>
      </c>
      <c r="K77" s="83" t="n">
        <v>4000000</v>
      </c>
      <c r="L77" s="83" t="n">
        <v>0</v>
      </c>
      <c r="M77" s="43" t="inlineStr">
        <is>
          <t>SBM/internal</t>
        </is>
      </c>
    </row>
    <row r="78" ht="34" customHeight="1">
      <c r="A78" s="12" t="n"/>
      <c r="B78" s="12" t="n"/>
      <c r="C78" s="12" t="n">
        <v>2</v>
      </c>
      <c r="D78" s="12" t="inlineStr">
        <is>
          <t>Transportasi + akomodasi reviewer</t>
        </is>
      </c>
      <c r="E78" s="12" t="inlineStr">
        <is>
          <t>Monev tahap I</t>
        </is>
      </c>
      <c r="F78" s="12" t="n">
        <v>1</v>
      </c>
      <c r="G78" s="12" t="n">
        <v>1</v>
      </c>
      <c r="H78" s="84" t="n">
        <v>1750000</v>
      </c>
      <c r="I78" s="84" t="inlineStr">
        <is>
          <t>paket</t>
        </is>
      </c>
      <c r="J78" s="84" t="n">
        <v>1750000</v>
      </c>
      <c r="K78" s="84" t="n">
        <v>1750000</v>
      </c>
      <c r="L78" s="84" t="n">
        <v>0</v>
      </c>
      <c r="M78" s="12" t="inlineStr">
        <is>
          <t>SBM</t>
        </is>
      </c>
    </row>
    <row r="79" ht="34" customHeight="1">
      <c r="A79" s="12" t="n"/>
      <c r="B79" s="12" t="n"/>
      <c r="C79" s="12" t="inlineStr">
        <is>
          <t>Subtotal</t>
        </is>
      </c>
      <c r="D79" s="12" t="inlineStr">
        <is>
          <t>Transportasi reviewer</t>
        </is>
      </c>
      <c r="E79" s="12" t="inlineStr">
        <is>
          <t>Evaluasi akhir periode</t>
        </is>
      </c>
      <c r="F79" s="12" t="n">
        <v>2</v>
      </c>
      <c r="G79" s="12" t="n">
        <v>1</v>
      </c>
      <c r="H79" s="84" t="n">
        <v>500000</v>
      </c>
      <c r="I79" s="84" t="inlineStr">
        <is>
          <t>perjalanan</t>
        </is>
      </c>
      <c r="J79" s="84" t="n">
        <v>5750000</v>
      </c>
      <c r="K79" s="84" t="n">
        <v>5750000</v>
      </c>
      <c r="L79" s="84" t="n">
        <v>0</v>
      </c>
      <c r="M79" s="12" t="inlineStr">
        <is>
          <t>SBM</t>
        </is>
      </c>
    </row>
    <row r="80" ht="34" customHeight="1">
      <c r="A80" s="12" t="n"/>
      <c r="B80" s="12" t="inlineStr">
        <is>
          <t>B.</t>
        </is>
      </c>
      <c r="C80" s="12" t="inlineStr">
        <is>
          <t>Evaluasi Internal Akhir Periode</t>
        </is>
      </c>
      <c r="D80" s="12" t="inlineStr">
        <is>
          <t>Evaluasi TKT, luaran dan kesiapan periode berikutnya</t>
        </is>
      </c>
      <c r="E80" s="12" t="inlineStr">
        <is>
          <t>Evaluasi akhir periode</t>
        </is>
      </c>
      <c r="F80" s="12" t="n">
        <v>1</v>
      </c>
      <c r="G80" s="12" t="n">
        <v>1</v>
      </c>
      <c r="H80" s="84" t="n">
        <v>750000</v>
      </c>
      <c r="I80" s="84" t="inlineStr">
        <is>
          <t>malam</t>
        </is>
      </c>
      <c r="J80" s="84">
        <f>F80*G80*H80</f>
        <v/>
      </c>
      <c r="K80" s="84">
        <f>J80-L80</f>
        <v/>
      </c>
      <c r="L80" s="84" t="n">
        <v>0</v>
      </c>
      <c r="M80" s="12" t="inlineStr">
        <is>
          <t>SBM</t>
        </is>
      </c>
    </row>
    <row r="81" ht="34" customHeight="1">
      <c r="A81" s="12" t="n"/>
      <c r="B81" s="12" t="n"/>
      <c r="C81" s="12" t="n">
        <v>1</v>
      </c>
      <c r="D81" s="12" t="inlineStr">
        <is>
          <t>Honor reviewer internal</t>
        </is>
      </c>
      <c r="E81" s="12" t="inlineStr">
        <is>
          <t>Evaluasi akhir periode</t>
        </is>
      </c>
      <c r="F81" s="12" t="n">
        <v>2</v>
      </c>
      <c r="G81" s="12" t="n">
        <v>2</v>
      </c>
      <c r="H81" s="84" t="n">
        <v>1000000</v>
      </c>
      <c r="I81" s="84" t="inlineStr">
        <is>
          <t>OJ</t>
        </is>
      </c>
      <c r="J81" s="84" t="n">
        <v>4000000</v>
      </c>
      <c r="K81" s="84" t="n">
        <v>4000000</v>
      </c>
      <c r="L81" s="84" t="n">
        <v>0</v>
      </c>
      <c r="M81" s="12" t="inlineStr">
        <is>
          <t>SBM/internal</t>
        </is>
      </c>
    </row>
    <row r="82" ht="34" customHeight="1">
      <c r="A82" s="44" t="n"/>
      <c r="B82" s="44" t="n"/>
      <c r="C82" s="44" t="n">
        <v>2</v>
      </c>
      <c r="D82" s="44" t="inlineStr">
        <is>
          <t>Transportasi + akomodasi reviewer</t>
        </is>
      </c>
      <c r="E82" s="44" t="inlineStr">
        <is>
          <t>Evaluasi akhir periode</t>
        </is>
      </c>
      <c r="F82" s="44" t="n">
        <v>1</v>
      </c>
      <c r="G82" s="44" t="n">
        <v>1</v>
      </c>
      <c r="H82" s="85" t="n">
        <v>1750000</v>
      </c>
      <c r="I82" s="85" t="inlineStr">
        <is>
          <t>paket</t>
        </is>
      </c>
      <c r="J82" s="85" t="n">
        <v>1750000</v>
      </c>
      <c r="K82" s="85" t="n">
        <v>1750000</v>
      </c>
      <c r="L82" s="85" t="n">
        <v>0</v>
      </c>
      <c r="M82" s="44" t="inlineStr">
        <is>
          <t>SBM</t>
        </is>
      </c>
    </row>
    <row r="83" ht="34" customHeight="1">
      <c r="A83" s="45" t="inlineStr">
        <is>
          <t>TOTAL II (BTL)</t>
        </is>
      </c>
      <c r="B83" s="45" t="n"/>
      <c r="C83" s="45" t="inlineStr">
        <is>
          <t>Subtotal</t>
        </is>
      </c>
      <c r="D83" s="45" t="n"/>
      <c r="E83" s="45" t="n"/>
      <c r="F83" s="45" t="n"/>
      <c r="G83" s="45" t="n"/>
      <c r="H83" s="86" t="n"/>
      <c r="I83" s="86" t="n"/>
      <c r="J83" s="86" t="n">
        <v>5750000</v>
      </c>
      <c r="K83" s="86" t="n">
        <v>5750000</v>
      </c>
      <c r="L83" s="86" t="n">
        <v>0</v>
      </c>
      <c r="M83" s="45" t="n"/>
    </row>
    <row r="84" ht="34" customHeight="1">
      <c r="A84" s="45" t="inlineStr">
        <is>
          <t>TOTAL II (BTL)</t>
        </is>
      </c>
      <c r="B84" s="45" t="n"/>
      <c r="C84" s="45" t="n"/>
      <c r="D84" s="45" t="n"/>
      <c r="E84" s="45" t="n"/>
      <c r="F84" s="45" t="n"/>
      <c r="G84" s="45" t="n"/>
      <c r="H84" s="86" t="n"/>
      <c r="I84" s="86" t="n"/>
      <c r="J84" s="86" t="n">
        <v>12500000</v>
      </c>
      <c r="K84" s="86" t="n">
        <v>12500000</v>
      </c>
      <c r="L84" s="86">
        <f>L68+L83</f>
        <v/>
      </c>
      <c r="M84" s="45" t="n"/>
    </row>
    <row r="85">
      <c r="A85" t="inlineStr">
        <is>
          <t>TOTAL BIAYA (I + II)</t>
        </is>
      </c>
      <c r="J85" t="n">
        <v>244150000</v>
      </c>
      <c r="K85" t="n">
        <v>244150000</v>
      </c>
    </row>
  </sheetData>
  <mergeCells count="14">
    <mergeCell ref="A1:J1"/>
    <mergeCell ref="E7:M7"/>
    <mergeCell ref="A4:C4"/>
    <mergeCell ref="A5:C5"/>
    <mergeCell ref="E5:M5"/>
    <mergeCell ref="A8:C8"/>
    <mergeCell ref="A6:C6"/>
    <mergeCell ref="A3:C3"/>
    <mergeCell ref="E8:M8"/>
    <mergeCell ref="E3:M3"/>
    <mergeCell ref="A7:C7"/>
    <mergeCell ref="E4:M4"/>
    <mergeCell ref="E6:M6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5" customWidth="1" min="3" max="3"/>
    <col width="47" customWidth="1" min="4" max="4"/>
    <col width="47" customWidth="1" min="5" max="5"/>
    <col width="10" customWidth="1" min="6" max="6"/>
    <col width="11" customWidth="1" min="7" max="7"/>
    <col width="17" customWidth="1" min="8" max="8"/>
    <col width="16" customWidth="1" min="9" max="9"/>
    <col width="19" customWidth="1" min="10" max="10"/>
    <col width="19" customWidth="1" min="11" max="11"/>
    <col width="17" customWidth="1" min="12" max="12"/>
    <col width="50" customWidth="1" min="13" max="13"/>
  </cols>
  <sheetData>
    <row r="1" ht="30" customHeight="1">
      <c r="A1" s="46" t="inlineStr">
        <is>
          <t>RINCIAN USULAN RAB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46" t="inlineStr">
        <is>
          <t>TAHUN II</t>
        </is>
      </c>
      <c r="L1" s="1" t="n"/>
      <c r="M1" s="1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</row>
    <row r="3">
      <c r="A3" s="47" t="inlineStr">
        <is>
          <t>Judul Riset</t>
        </is>
      </c>
      <c r="B3" s="1" t="n"/>
      <c r="C3" s="1" t="n"/>
      <c r="D3" s="12" t="inlineStr">
        <is>
          <t>:</t>
        </is>
      </c>
      <c r="E3" s="13" t="inlineStr">
        <is>
          <t>Data-Centric AI Pipeline untuk Smart Charging Hub Solar Hybrid: Integritas Data, Hybrid Ensemble Forecasting, dan Energy Management System Adaptif</t>
        </is>
      </c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47" t="inlineStr">
        <is>
          <t>Fokus/Skema</t>
        </is>
      </c>
      <c r="B4" s="1" t="n"/>
      <c r="C4" s="1" t="n"/>
      <c r="D4" s="12" t="inlineStr">
        <is>
          <t>:</t>
        </is>
      </c>
      <c r="E4" s="13" t="inlineStr">
        <is>
          <t>RIIM Kompetisi 2026 / Kedaulatan Energi</t>
        </is>
      </c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47" t="inlineStr">
        <is>
          <t>Ketua Periset</t>
        </is>
      </c>
      <c r="B5" s="1" t="n"/>
      <c r="C5" s="1" t="n"/>
      <c r="D5" s="12" t="inlineStr">
        <is>
          <t>:</t>
        </is>
      </c>
      <c r="E5" s="13" t="inlineStr">
        <is>
          <t>Feddy Setio Pribadi, S.T., M.Kom.</t>
        </is>
      </c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47" t="inlineStr">
        <is>
          <t>Institusi</t>
        </is>
      </c>
      <c r="B6" s="1" t="n"/>
      <c r="C6" s="1" t="n"/>
      <c r="D6" s="12" t="inlineStr">
        <is>
          <t>:</t>
        </is>
      </c>
      <c r="E6" s="13" t="inlineStr">
        <is>
          <t>Universitas Negeri Semarang</t>
        </is>
      </c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47" t="inlineStr">
        <is>
          <t>Mitra</t>
        </is>
      </c>
      <c r="B7" s="1" t="n"/>
      <c r="C7" s="1" t="n"/>
      <c r="D7" s="12" t="inlineStr">
        <is>
          <t>:</t>
        </is>
      </c>
      <c r="E7" s="13" t="inlineStr">
        <is>
          <t>PT. Arunika Sains Teknologi</t>
        </is>
      </c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47" t="inlineStr">
        <is>
          <t>Durasi</t>
        </is>
      </c>
      <c r="B8" s="1" t="n"/>
      <c r="C8" s="1" t="n"/>
      <c r="D8" s="12" t="inlineStr">
        <is>
          <t>:</t>
        </is>
      </c>
      <c r="E8" s="13" t="inlineStr">
        <is>
          <t>2 tahun; setiap periode 12 bulan</t>
        </is>
      </c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 ht="50" customHeight="1">
      <c r="A10" s="18" t="inlineStr">
        <is>
          <t>No.</t>
        </is>
      </c>
      <c r="B10" s="18" t="str"/>
      <c r="C10" s="18" t="str"/>
      <c r="D10" s="18" t="inlineStr">
        <is>
          <t>Komponen Biaya / Aktivitas</t>
        </is>
      </c>
      <c r="E10" s="18" t="inlineStr">
        <is>
          <t>Justifikasi / Indikator Kinerja</t>
        </is>
      </c>
      <c r="F10" s="18" t="inlineStr">
        <is>
          <t>Volume</t>
        </is>
      </c>
      <c r="G10" s="18" t="inlineStr">
        <is>
          <t>Frekuensi</t>
        </is>
      </c>
      <c r="H10" s="18" t="inlineStr">
        <is>
          <t>Harga Satuan (Rp)</t>
        </is>
      </c>
      <c r="I10" s="18" t="inlineStr">
        <is>
          <t>Satuan</t>
        </is>
      </c>
      <c r="J10" s="18" t="inlineStr">
        <is>
          <t>Jumlah</t>
        </is>
      </c>
      <c r="K10" s="18" t="inlineStr">
        <is>
          <t>LPDP</t>
        </is>
      </c>
      <c r="L10" s="18" t="inlineStr">
        <is>
          <t>Mitra</t>
        </is>
      </c>
      <c r="M10" s="18" t="inlineStr">
        <is>
          <t>HPS / Sumber</t>
        </is>
      </c>
    </row>
    <row r="11" ht="34" customHeight="1">
      <c r="A11" s="42" t="inlineStr">
        <is>
          <t>I.</t>
        </is>
      </c>
      <c r="B11" s="42" t="inlineStr">
        <is>
          <t>BIAYA LANGSUNG</t>
        </is>
      </c>
      <c r="C11" s="42" t="n"/>
      <c r="D11" s="42" t="n"/>
      <c r="E11" s="42" t="n"/>
      <c r="F11" s="42" t="n"/>
      <c r="G11" s="42" t="n"/>
      <c r="H11" s="82" t="n"/>
      <c r="I11" s="82" t="n"/>
      <c r="J11" s="82" t="n"/>
      <c r="K11" s="82" t="n"/>
      <c r="L11" s="82" t="n"/>
      <c r="M11" s="42" t="n"/>
    </row>
    <row r="12" ht="34" customHeight="1">
      <c r="A12" s="43" t="n"/>
      <c r="B12" s="43" t="inlineStr">
        <is>
          <t>A.</t>
        </is>
      </c>
      <c r="C12" s="43" t="inlineStr">
        <is>
          <t>BIAYA LANGSUNG PERSONIL</t>
        </is>
      </c>
      <c r="D12" s="43" t="n"/>
      <c r="E12" s="43" t="n"/>
      <c r="F12" s="43" t="n"/>
      <c r="G12" s="43" t="n"/>
      <c r="H12" s="83" t="n"/>
      <c r="I12" s="83" t="n"/>
      <c r="J12" s="83" t="n"/>
      <c r="K12" s="83" t="n"/>
      <c r="L12" s="83" t="n"/>
      <c r="M12" s="43" t="n"/>
    </row>
    <row r="13" ht="34" customHeight="1">
      <c r="A13" s="12" t="n"/>
      <c r="B13" s="12" t="n"/>
      <c r="C13" s="12" t="n">
        <v>1</v>
      </c>
      <c r="D13" s="12" t="inlineStr">
        <is>
          <t>Feddy Setio Pribadi, S.T., M.Kom.</t>
        </is>
      </c>
      <c r="E13" s="12" t="inlineStr">
        <is>
          <t>Ketua periset; perancang pipeline AI, data integrity, hybrid ensemble, drift detection, CPTS</t>
        </is>
      </c>
      <c r="F13" s="12" t="n">
        <v>1</v>
      </c>
      <c r="G13" s="12" t="n">
        <v>4</v>
      </c>
      <c r="H13" s="84" t="n">
        <v>3600000</v>
      </c>
      <c r="I13" s="84" t="inlineStr">
        <is>
          <t>OB</t>
        </is>
      </c>
      <c r="J13" s="84" t="n">
        <v>14400000</v>
      </c>
      <c r="K13" s="84" t="n">
        <v>14400000</v>
      </c>
      <c r="L13" s="84" t="n">
        <v>0</v>
      </c>
      <c r="M13" s="12" t="inlineStr">
        <is>
          <t>Satuan biaya RIIM 2026</t>
        </is>
      </c>
    </row>
    <row r="14" ht="34" customHeight="1">
      <c r="A14" s="12" t="n"/>
      <c r="B14" s="12" t="n"/>
      <c r="C14" s="12" t="n">
        <v>2</v>
      </c>
      <c r="D14" s="12" t="inlineStr">
        <is>
          <t>Bagaskoro Saputro, S.Si., M.Cs.</t>
        </is>
      </c>
      <c r="E14" s="12" t="inlineStr">
        <is>
          <t>Anggota; IoT-edge, backend, MQTT/Modbus bridge, CSMS, dashboard</t>
        </is>
      </c>
      <c r="F14" s="12" t="n">
        <v>1</v>
      </c>
      <c r="G14" s="12" t="n">
        <v>4</v>
      </c>
      <c r="H14" s="84" t="n">
        <v>2400000</v>
      </c>
      <c r="I14" s="84" t="inlineStr">
        <is>
          <t>OB</t>
        </is>
      </c>
      <c r="J14" s="84" t="n">
        <v>9600000</v>
      </c>
      <c r="K14" s="84" t="n">
        <v>9600000</v>
      </c>
      <c r="L14" s="84" t="n">
        <v>0</v>
      </c>
      <c r="M14" s="12" t="inlineStr">
        <is>
          <t>Satuan biaya RIIM 2026</t>
        </is>
      </c>
    </row>
    <row r="15" ht="34" customHeight="1">
      <c r="A15" s="12" t="n"/>
      <c r="B15" s="12" t="n"/>
      <c r="C15" s="12" t="n">
        <v>3</v>
      </c>
      <c r="D15" s="12" t="inlineStr">
        <is>
          <t>Mario Norman Syah, S.Pd., M.Eng.</t>
        </is>
      </c>
      <c r="E15" s="12" t="inlineStr">
        <is>
          <t>Anggota; formulasi EMS, CPTS-EMS, digital twin, uji hardware</t>
        </is>
      </c>
      <c r="F15" s="12" t="n">
        <v>1</v>
      </c>
      <c r="G15" s="12" t="n">
        <v>4</v>
      </c>
      <c r="H15" s="84" t="n">
        <v>2400000</v>
      </c>
      <c r="I15" s="84" t="inlineStr">
        <is>
          <t>OB</t>
        </is>
      </c>
      <c r="J15" s="84" t="n">
        <v>9600000</v>
      </c>
      <c r="K15" s="84" t="n">
        <v>9600000</v>
      </c>
      <c r="L15" s="84" t="n">
        <v>0</v>
      </c>
      <c r="M15" s="12" t="inlineStr">
        <is>
          <t>Satuan biaya RIIM 2026</t>
        </is>
      </c>
    </row>
    <row r="16" ht="34" customHeight="1">
      <c r="A16" s="12" t="n"/>
      <c r="B16" s="12" t="n"/>
      <c r="C16" s="12" t="n">
        <v>4</v>
      </c>
      <c r="D16" s="12" t="inlineStr">
        <is>
          <t>Adhe Lingga Dewi, S.Si., M.Si.</t>
        </is>
      </c>
      <c r="E16" s="12" t="inlineStr">
        <is>
          <t>Anggota; data quality, kalibrasi sensor, ANN, dataset curation</t>
        </is>
      </c>
      <c r="F16" s="12" t="n">
        <v>1</v>
      </c>
      <c r="G16" s="12" t="n">
        <v>4</v>
      </c>
      <c r="H16" s="84" t="n">
        <v>2400000</v>
      </c>
      <c r="I16" s="84" t="inlineStr">
        <is>
          <t>OB</t>
        </is>
      </c>
      <c r="J16" s="84" t="n">
        <v>9600000</v>
      </c>
      <c r="K16" s="84" t="n">
        <v>9600000</v>
      </c>
      <c r="L16" s="84" t="n">
        <v>0</v>
      </c>
      <c r="M16" s="12" t="inlineStr">
        <is>
          <t>Satuan biaya RIIM 2026</t>
        </is>
      </c>
    </row>
    <row r="17" ht="34" customHeight="1">
      <c r="A17" s="12" t="n"/>
      <c r="B17" s="12" t="n"/>
      <c r="C17" s="12" t="n">
        <v>5</v>
      </c>
      <c r="D17" s="12" t="inlineStr">
        <is>
          <t>Ir. Turnad Lenggo Ginta, S.T., M.T., Ph.D.</t>
        </is>
      </c>
      <c r="E17" s="12" t="inlineStr">
        <is>
          <t>Anggota; kebijakan energi, ESG, techno-economic, hilirisasi</t>
        </is>
      </c>
      <c r="F17" s="12" t="n">
        <v>1</v>
      </c>
      <c r="G17" s="12" t="n">
        <v>4</v>
      </c>
      <c r="H17" s="84" t="n">
        <v>2400000</v>
      </c>
      <c r="I17" s="84" t="inlineStr">
        <is>
          <t>OB</t>
        </is>
      </c>
      <c r="J17" s="84" t="n">
        <v>9600000</v>
      </c>
      <c r="K17" s="84" t="n">
        <v>9600000</v>
      </c>
      <c r="L17" s="84" t="n">
        <v>0</v>
      </c>
      <c r="M17" s="12" t="inlineStr">
        <is>
          <t>Satuan biaya RIIM 2026</t>
        </is>
      </c>
    </row>
    <row r="18" ht="34" customHeight="1">
      <c r="A18" s="44" t="n"/>
      <c r="B18" s="44" t="inlineStr">
        <is>
          <t>Total BLP</t>
        </is>
      </c>
      <c r="C18" s="44" t="n"/>
      <c r="D18" s="44" t="n"/>
      <c r="E18" s="44" t="n"/>
      <c r="F18" s="44" t="n"/>
      <c r="G18" s="44" t="n"/>
      <c r="H18" s="85" t="n"/>
      <c r="I18" s="85" t="n"/>
      <c r="J18" s="85" t="n">
        <v>52800000</v>
      </c>
      <c r="K18" s="85" t="n">
        <v>52800000</v>
      </c>
      <c r="L18" s="85" t="n">
        <v>0</v>
      </c>
      <c r="M18" s="44" t="n"/>
    </row>
    <row r="19" ht="34" customHeight="1">
      <c r="A19" s="43" t="n"/>
      <c r="B19" s="43" t="inlineStr">
        <is>
          <t>B.</t>
        </is>
      </c>
      <c r="C19" s="43" t="inlineStr">
        <is>
          <t>BIAYA LANGSUNG NONPERSONIL</t>
        </is>
      </c>
      <c r="D19" s="43" t="n"/>
      <c r="E19" s="43" t="n"/>
      <c r="F19" s="43" t="n"/>
      <c r="G19" s="43" t="n"/>
      <c r="H19" s="83" t="n"/>
      <c r="I19" s="83" t="n"/>
      <c r="J19" s="83" t="n"/>
      <c r="K19" s="83" t="n"/>
      <c r="L19" s="83" t="n"/>
      <c r="M19" s="43" t="n"/>
    </row>
    <row r="20" ht="34" customHeight="1">
      <c r="A20" s="42" t="n"/>
      <c r="B20" s="42" t="inlineStr">
        <is>
          <t>B.1</t>
        </is>
      </c>
      <c r="C20" s="42" t="inlineStr">
        <is>
          <t>Indikator 1</t>
        </is>
      </c>
      <c r="D20" s="42" t="inlineStr">
        <is>
          <t>Operasi pilot smart charging hub, monitoring, pemeliharaan</t>
        </is>
      </c>
      <c r="E20" s="42" t="inlineStr">
        <is>
          <t>Validasi pipeline dalam operasi nyata, monitoring multi-kondisi, pemeliharaan sistem.</t>
        </is>
      </c>
      <c r="F20" s="42" t="n"/>
      <c r="G20" s="42" t="n"/>
      <c r="H20" s="82" t="n"/>
      <c r="I20" s="82" t="n"/>
      <c r="J20" s="82" t="n"/>
      <c r="K20" s="82" t="n"/>
      <c r="L20" s="82" t="n"/>
      <c r="M20" s="42" t="n"/>
    </row>
    <row r="21" ht="34" customHeight="1">
      <c r="A21" s="43" t="n"/>
      <c r="B21" s="43" t="inlineStr">
        <is>
          <t>B.1.1</t>
        </is>
      </c>
      <c r="C21" s="43" t="inlineStr">
        <is>
          <t>Bahan Operasional &amp; Pemeliharaan</t>
        </is>
      </c>
      <c r="D21" s="43" t="n"/>
      <c r="E21" s="43" t="n"/>
      <c r="F21" s="43" t="n"/>
      <c r="G21" s="43" t="n"/>
      <c r="H21" s="83" t="n"/>
      <c r="I21" s="83" t="n"/>
      <c r="J21" s="83" t="n"/>
      <c r="K21" s="83" t="n"/>
      <c r="L21" s="83" t="n"/>
      <c r="M21" s="43" t="n"/>
    </row>
    <row r="22" ht="34" customHeight="1">
      <c r="A22" s="12" t="n"/>
      <c r="B22" s="12" t="n"/>
      <c r="C22" s="12" t="n">
        <v>1</v>
      </c>
      <c r="D22" s="12" t="inlineStr">
        <is>
          <t>Bahan operasional pilot (12 bln)</t>
        </is>
      </c>
      <c r="E22" s="12" t="inlineStr">
        <is>
          <t>Kabel, konektor, ATK, label, dokumentasi</t>
        </is>
      </c>
      <c r="F22" s="12" t="n">
        <v>1</v>
      </c>
      <c r="G22" s="12" t="n">
        <v>1</v>
      </c>
      <c r="H22" s="84" t="n">
        <v>6000000</v>
      </c>
      <c r="I22" s="84" t="inlineStr">
        <is>
          <t>paket</t>
        </is>
      </c>
      <c r="J22" s="84" t="n">
        <v>6000000</v>
      </c>
      <c r="K22" s="84" t="n">
        <v>6000000</v>
      </c>
      <c r="L22" s="84" t="n">
        <v>0</v>
      </c>
      <c r="M22" s="12" t="inlineStr">
        <is>
          <t>Bahan habis pakai</t>
        </is>
      </c>
    </row>
    <row r="23" ht="34" customHeight="1">
      <c r="A23" s="12" t="n"/>
      <c r="B23" s="12" t="n"/>
      <c r="C23" s="12" t="n">
        <v>2</v>
      </c>
      <c r="D23" s="12" t="inlineStr">
        <is>
          <t>Suku cadang dan spare part</t>
        </is>
      </c>
      <c r="E23" s="12" t="inlineStr">
        <is>
          <t>Fuse, MCB, relay, fan, kabel cadangan</t>
        </is>
      </c>
      <c r="F23" s="12" t="n">
        <v>1</v>
      </c>
      <c r="G23" s="12" t="n">
        <v>1</v>
      </c>
      <c r="H23" s="84" t="n">
        <v>8000000</v>
      </c>
      <c r="I23" s="84" t="inlineStr">
        <is>
          <t>paket</t>
        </is>
      </c>
      <c r="J23" s="84" t="n">
        <v>8000000</v>
      </c>
      <c r="K23" s="84" t="n">
        <v>8000000</v>
      </c>
      <c r="L23" s="84" t="n">
        <v>0</v>
      </c>
      <c r="M23" s="12" t="inlineStr">
        <is>
          <t>Bahan habis pakai</t>
        </is>
      </c>
    </row>
    <row r="24" ht="34" customHeight="1">
      <c r="A24" s="44" t="n"/>
      <c r="B24" s="44" t="n"/>
      <c r="C24" s="44" t="n">
        <v>3</v>
      </c>
      <c r="D24" s="44" t="inlineStr">
        <is>
          <t>Sensor dan node IoT pengganti</t>
        </is>
      </c>
      <c r="E24" s="44" t="inlineStr">
        <is>
          <t>Penggantian sensor drift/rusak, node tambahan</t>
        </is>
      </c>
      <c r="F24" s="44" t="n">
        <v>1</v>
      </c>
      <c r="G24" s="44" t="n">
        <v>1</v>
      </c>
      <c r="H24" s="85" t="n">
        <v>5000000</v>
      </c>
      <c r="I24" s="85" t="inlineStr">
        <is>
          <t>paket</t>
        </is>
      </c>
      <c r="J24" s="85" t="n">
        <v>5000000</v>
      </c>
      <c r="K24" s="85" t="n">
        <v>5000000</v>
      </c>
      <c r="L24" s="85" t="n">
        <v>0</v>
      </c>
      <c r="M24" s="44" t="inlineStr">
        <is>
          <t>Bahan habis pakai</t>
        </is>
      </c>
    </row>
    <row r="25" ht="34" customHeight="1">
      <c r="A25" s="43" t="n"/>
      <c r="B25" s="43" t="inlineStr">
        <is>
          <t>B.1.2</t>
        </is>
      </c>
      <c r="C25" s="43" t="n">
        <v>4</v>
      </c>
      <c r="D25" s="43" t="inlineStr">
        <is>
          <t>Kalibrasi sensor dan alat ukur</t>
        </is>
      </c>
      <c r="E25" s="43" t="inlineStr">
        <is>
          <t>Kalibrasi ulang sensor, meter, pyranometer</t>
        </is>
      </c>
      <c r="F25" s="43" t="n">
        <v>1</v>
      </c>
      <c r="G25" s="43" t="n">
        <v>1</v>
      </c>
      <c r="H25" s="83" t="n">
        <v>5000000</v>
      </c>
      <c r="I25" s="83" t="inlineStr">
        <is>
          <t>paket</t>
        </is>
      </c>
      <c r="J25" s="83" t="n">
        <v>5000000</v>
      </c>
      <c r="K25" s="83" t="n">
        <v>5000000</v>
      </c>
      <c r="L25" s="83" t="n">
        <v>0</v>
      </c>
      <c r="M25" s="43" t="inlineStr">
        <is>
          <t>HPS jasa kalibrasi</t>
        </is>
      </c>
    </row>
    <row r="26" ht="34" customHeight="1">
      <c r="A26" s="12" t="n"/>
      <c r="B26" s="12" t="n"/>
      <c r="C26" s="12" t="n">
        <v>5</v>
      </c>
      <c r="D26" s="12" t="inlineStr">
        <is>
          <t>Sewa alat uji power quality &amp; battery analyzer</t>
        </is>
      </c>
      <c r="E26" s="12" t="inlineStr">
        <is>
          <t>Pengukuran power quality, SOC/SOH, efisiensi</t>
        </is>
      </c>
      <c r="F26" s="12" t="n">
        <v>1</v>
      </c>
      <c r="G26" s="12" t="n">
        <v>1</v>
      </c>
      <c r="H26" s="84" t="n">
        <v>8000000</v>
      </c>
      <c r="I26" s="84" t="inlineStr">
        <is>
          <t>paket</t>
        </is>
      </c>
      <c r="J26" s="84" t="n">
        <v>8000000</v>
      </c>
      <c r="K26" s="84" t="n">
        <v>8000000</v>
      </c>
      <c r="L26" s="84" t="n">
        <v>0</v>
      </c>
      <c r="M26" s="12" t="inlineStr">
        <is>
          <t>HPS laboratorium</t>
        </is>
      </c>
    </row>
    <row r="27" ht="34" customHeight="1">
      <c r="A27" s="12" t="n"/>
      <c r="B27" s="12" t="n"/>
      <c r="C27" s="12" t="n">
        <v>6</v>
      </c>
      <c r="D27" s="12" t="inlineStr">
        <is>
          <t>Preventive maintenance sistem (2×)</t>
        </is>
      </c>
      <c r="E27" s="12" t="inlineStr">
        <is>
          <t>Inspeksi, cleaning, torque check, health check</t>
        </is>
      </c>
      <c r="F27" s="12" t="n">
        <v>2</v>
      </c>
      <c r="G27" s="12" t="n">
        <v>1</v>
      </c>
      <c r="H27" s="84" t="n">
        <v>4000000</v>
      </c>
      <c r="I27" s="84" t="inlineStr">
        <is>
          <t>kali</t>
        </is>
      </c>
      <c r="J27" s="84" t="n">
        <v>8000000</v>
      </c>
      <c r="K27" s="84" t="n">
        <v>8000000</v>
      </c>
      <c r="L27" s="84" t="n">
        <v>0</v>
      </c>
      <c r="M27" s="12" t="inlineStr">
        <is>
          <t>HPS jasa teknis</t>
        </is>
      </c>
    </row>
    <row r="28" ht="34" customHeight="1">
      <c r="A28" s="12" t="n"/>
      <c r="B28" s="12" t="n"/>
      <c r="C28" s="12" t="inlineStr">
        <is>
          <t>Subtotal</t>
        </is>
      </c>
      <c r="D28" s="12" t="inlineStr">
        <is>
          <t>Reference energy meter</t>
        </is>
      </c>
      <c r="E28" s="12" t="inlineStr">
        <is>
          <t>Validasi efisiensi dan audit energi lapangan</t>
        </is>
      </c>
      <c r="F28" s="12" t="n">
        <v>1</v>
      </c>
      <c r="G28" s="12" t="n">
        <v>1</v>
      </c>
      <c r="H28" s="84" t="n">
        <v>5000000</v>
      </c>
      <c r="I28" s="84" t="inlineStr">
        <is>
          <t>unit</t>
        </is>
      </c>
      <c r="J28" s="84" t="n">
        <v>40000000</v>
      </c>
      <c r="K28" s="84" t="n">
        <v>40000000</v>
      </c>
      <c r="L28" s="84" t="n">
        <v>0</v>
      </c>
      <c r="M28" s="12" t="inlineStr">
        <is>
          <t>HPS vendor; aset institusi</t>
        </is>
      </c>
    </row>
    <row r="29" ht="34" customHeight="1">
      <c r="A29" s="12" t="n"/>
      <c r="B29" s="12" t="inlineStr">
        <is>
          <t>B.1.2</t>
        </is>
      </c>
      <c r="C29" s="12" t="inlineStr">
        <is>
          <t>Cloud &amp; Infrastruktur</t>
        </is>
      </c>
      <c r="D29" s="12" t="inlineStr">
        <is>
          <t>Redundant industrial IoT gateway</t>
        </is>
      </c>
      <c r="E29" s="12" t="inlineStr">
        <is>
          <t>Failover komunikasi dan store-and-forward</t>
        </is>
      </c>
      <c r="F29" s="12" t="n">
        <v>1</v>
      </c>
      <c r="G29" s="12" t="n">
        <v>1</v>
      </c>
      <c r="H29" s="84" t="n">
        <v>4000000</v>
      </c>
      <c r="I29" s="84" t="inlineStr">
        <is>
          <t>unit</t>
        </is>
      </c>
      <c r="J29" s="84">
        <f>F29*G29*H29</f>
        <v/>
      </c>
      <c r="K29" s="84">
        <f>J29-L29</f>
        <v/>
      </c>
      <c r="L29" s="84" t="n">
        <v>0</v>
      </c>
      <c r="M29" s="12" t="inlineStr">
        <is>
          <t>HPS vendor; aset institusi</t>
        </is>
      </c>
    </row>
    <row r="30" ht="34" customHeight="1">
      <c r="A30" s="12" t="n"/>
      <c r="B30" s="12" t="n"/>
      <c r="C30" s="12" t="n">
        <v>1</v>
      </c>
      <c r="D30" s="12" t="inlineStr">
        <is>
          <t>Cloud VPS + object storage (12 bln)</t>
        </is>
      </c>
      <c r="E30" s="12" t="inlineStr">
        <is>
          <t>Operasi backend, database, dashboard, backup</t>
        </is>
      </c>
      <c r="F30" s="12" t="n">
        <v>1</v>
      </c>
      <c r="G30" s="12" t="n">
        <v>1</v>
      </c>
      <c r="H30" s="84" t="n">
        <v>15000000</v>
      </c>
      <c r="I30" s="84" t="inlineStr">
        <is>
          <t>paket</t>
        </is>
      </c>
      <c r="J30" s="84" t="n">
        <v>15000000</v>
      </c>
      <c r="K30" s="84" t="n">
        <v>15000000</v>
      </c>
      <c r="L30" s="84" t="n">
        <v>0</v>
      </c>
      <c r="M30" s="12" t="inlineStr">
        <is>
          <t>HPS layanan cloud</t>
        </is>
      </c>
    </row>
    <row r="31" ht="34" customHeight="1">
      <c r="A31" s="12" t="n"/>
      <c r="B31" s="12" t="n"/>
      <c r="C31" s="12" t="n">
        <v>2</v>
      </c>
      <c r="D31" s="12" t="inlineStr">
        <is>
          <t>Domain, SSL, CDN, hosting</t>
        </is>
      </c>
      <c r="E31" s="12" t="inlineStr">
        <is>
          <t>Layanan web, dashboard publik</t>
        </is>
      </c>
      <c r="F31" s="12" t="n">
        <v>1</v>
      </c>
      <c r="G31" s="12" t="n">
        <v>1</v>
      </c>
      <c r="H31" s="84" t="n">
        <v>4000000</v>
      </c>
      <c r="I31" s="84" t="inlineStr">
        <is>
          <t>paket</t>
        </is>
      </c>
      <c r="J31" s="84" t="n">
        <v>4000000</v>
      </c>
      <c r="K31" s="84" t="n">
        <v>4000000</v>
      </c>
      <c r="L31" s="84" t="n">
        <v>0</v>
      </c>
      <c r="M31" s="12" t="inlineStr">
        <is>
          <t>HPS layanan</t>
        </is>
      </c>
    </row>
    <row r="32" ht="34" customHeight="1">
      <c r="A32" s="12" t="n"/>
      <c r="B32" s="12" t="n"/>
      <c r="C32" s="12" t="n">
        <v>3</v>
      </c>
      <c r="D32" s="12" t="inlineStr">
        <is>
          <t>MQTT broker + data streaming infra</t>
        </is>
      </c>
      <c r="E32" s="12" t="inlineStr">
        <is>
          <t>EMQX/HiveMQ, pipeline data, alerting</t>
        </is>
      </c>
      <c r="F32" s="12" t="n">
        <v>1</v>
      </c>
      <c r="G32" s="12" t="n">
        <v>1</v>
      </c>
      <c r="H32" s="84" t="n">
        <v>5000000</v>
      </c>
      <c r="I32" s="84" t="inlineStr">
        <is>
          <t>paket</t>
        </is>
      </c>
      <c r="J32" s="84" t="n">
        <v>5000000</v>
      </c>
      <c r="K32" s="84" t="n">
        <v>5000000</v>
      </c>
      <c r="L32" s="84" t="n">
        <v>0</v>
      </c>
      <c r="M32" s="12" t="inlineStr">
        <is>
          <t>HPS layanan cloud</t>
        </is>
      </c>
    </row>
    <row r="33" ht="34" customHeight="1">
      <c r="A33" s="44" t="n"/>
      <c r="B33" s="44" t="n"/>
      <c r="C33" s="44" t="n">
        <v>4</v>
      </c>
      <c r="D33" s="44" t="inlineStr">
        <is>
          <t>Konektivitas 4G untuk gateway pilot (12 bln)</t>
        </is>
      </c>
      <c r="E33" s="44" t="inlineStr">
        <is>
          <t>Data plan untuk 2 gateway</t>
        </is>
      </c>
      <c r="F33" s="44" t="n">
        <v>2</v>
      </c>
      <c r="G33" s="44" t="n">
        <v>12</v>
      </c>
      <c r="H33" s="85" t="n">
        <v>150000</v>
      </c>
      <c r="I33" s="85" t="inlineStr">
        <is>
          <t>bulan</t>
        </is>
      </c>
      <c r="J33" s="85" t="n">
        <v>3600000</v>
      </c>
      <c r="K33" s="85" t="n">
        <v>3600000</v>
      </c>
      <c r="L33" s="85" t="n">
        <v>0</v>
      </c>
      <c r="M33" s="44" t="inlineStr">
        <is>
          <t>SBM/HP</t>
        </is>
      </c>
    </row>
    <row r="34" ht="34" customHeight="1">
      <c r="A34" s="43" t="n"/>
      <c r="B34" s="43" t="inlineStr">
        <is>
          <t>B.1.3</t>
        </is>
      </c>
      <c r="C34" s="43" t="inlineStr">
        <is>
          <t>Subtotal</t>
        </is>
      </c>
      <c r="D34" s="43" t="n"/>
      <c r="E34" s="43" t="n"/>
      <c r="F34" s="43" t="n"/>
      <c r="G34" s="43" t="n"/>
      <c r="H34" s="83" t="n"/>
      <c r="I34" s="83" t="n"/>
      <c r="J34" s="83" t="n">
        <v>27600000</v>
      </c>
      <c r="K34" s="83" t="n">
        <v>27600000</v>
      </c>
      <c r="L34" s="83" t="n">
        <v>0</v>
      </c>
      <c r="M34" s="43" t="n"/>
    </row>
    <row r="35" ht="34" customHeight="1">
      <c r="A35" s="12" t="n"/>
      <c r="B35" s="12" t="inlineStr">
        <is>
          <t>Total Indikator 1</t>
        </is>
      </c>
      <c r="C35" s="12" t="n">
        <v>1</v>
      </c>
      <c r="D35" s="12" t="inlineStr">
        <is>
          <t>DC contactor BESS</t>
        </is>
      </c>
      <c r="E35" s="12" t="inlineStr">
        <is>
          <t>Switching charge/discharge dan isolasi baterai</t>
        </is>
      </c>
      <c r="F35" s="12" t="n">
        <v>4</v>
      </c>
      <c r="G35" s="12" t="n">
        <v>1</v>
      </c>
      <c r="H35" s="84" t="n">
        <v>800000</v>
      </c>
      <c r="I35" s="84" t="inlineStr">
        <is>
          <t>unit</t>
        </is>
      </c>
      <c r="J35" s="84" t="n">
        <v>67600000</v>
      </c>
      <c r="K35" s="84" t="n">
        <v>67600000</v>
      </c>
      <c r="L35" s="84" t="n">
        <v>0</v>
      </c>
      <c r="M35" s="12" t="inlineStr">
        <is>
          <t>Komponen terintegrasi dalam purwarupa</t>
        </is>
      </c>
    </row>
    <row r="36" ht="34" customHeight="1">
      <c r="A36" s="12" t="n"/>
      <c r="B36" s="12" t="inlineStr">
        <is>
          <t>B.2</t>
        </is>
      </c>
      <c r="C36" s="12" t="inlineStr">
        <is>
          <t>Indikator 2</t>
        </is>
      </c>
      <c r="D36" s="12" t="inlineStr">
        <is>
          <t>Diseminasi, publikasi, KI, dan luaran akhir riset</t>
        </is>
      </c>
      <c r="E36" s="12" t="inlineStr">
        <is>
          <t>Publikasi jurnal, paten, FGD, pelaporan, dan paket replikasi.</t>
        </is>
      </c>
      <c r="F36" s="12" t="n">
        <v>4</v>
      </c>
      <c r="G36" s="12" t="n">
        <v>1</v>
      </c>
      <c r="H36" s="84" t="n">
        <v>500000</v>
      </c>
      <c r="I36" s="84" t="inlineStr">
        <is>
          <t>set</t>
        </is>
      </c>
      <c r="J36" s="84">
        <f>F36*G36*H36</f>
        <v/>
      </c>
      <c r="K36" s="84">
        <f>J36-L36</f>
        <v/>
      </c>
      <c r="L36" s="84" t="n">
        <v>0</v>
      </c>
      <c r="M36" s="12" t="inlineStr">
        <is>
          <t>Komponen terintegrasi dalam purwarupa</t>
        </is>
      </c>
    </row>
    <row r="37" ht="34" customHeight="1">
      <c r="A37" s="12" t="n"/>
      <c r="B37" s="12" t="inlineStr">
        <is>
          <t>B.2.1</t>
        </is>
      </c>
      <c r="C37" s="12" t="inlineStr">
        <is>
          <t>Diseminasi &amp; Publikasi</t>
        </is>
      </c>
      <c r="D37" s="12" t="inlineStr">
        <is>
          <t>DC fuse dan fuse holder</t>
        </is>
      </c>
      <c r="E37" s="12" t="inlineStr">
        <is>
          <t>Proteksi arus lebih string/rack baterai</t>
        </is>
      </c>
      <c r="F37" s="12" t="n">
        <v>6</v>
      </c>
      <c r="G37" s="12" t="n">
        <v>1</v>
      </c>
      <c r="H37" s="84" t="n">
        <v>300000</v>
      </c>
      <c r="I37" s="84" t="inlineStr">
        <is>
          <t>set</t>
        </is>
      </c>
      <c r="J37" s="84">
        <f>F37*G37*H37</f>
        <v/>
      </c>
      <c r="K37" s="84">
        <f>J37-L37</f>
        <v/>
      </c>
      <c r="L37" s="84" t="n">
        <v>0</v>
      </c>
      <c r="M37" s="12" t="inlineStr">
        <is>
          <t>Komponen terintegrasi dalam purwarupa</t>
        </is>
      </c>
    </row>
    <row r="38" ht="34" customHeight="1">
      <c r="A38" s="12" t="n"/>
      <c r="B38" s="12" t="n"/>
      <c r="C38" s="12" t="n">
        <v>1</v>
      </c>
      <c r="D38" s="12" t="inlineStr">
        <is>
          <t>Biaya publikasi jurnal internasional Q2</t>
        </is>
      </c>
      <c r="E38" s="12" t="inlineStr">
        <is>
          <t>OA fee publikasi hasil riset</t>
        </is>
      </c>
      <c r="F38" s="12" t="n">
        <v>1</v>
      </c>
      <c r="G38" s="12" t="n">
        <v>1</v>
      </c>
      <c r="H38" s="84" t="n">
        <v>12000000</v>
      </c>
      <c r="I38" s="84" t="inlineStr">
        <is>
          <t>paket</t>
        </is>
      </c>
      <c r="J38" s="84" t="n">
        <v>12000000</v>
      </c>
      <c r="K38" s="84" t="n">
        <v>12000000</v>
      </c>
      <c r="L38" s="84" t="n">
        <v>0</v>
      </c>
      <c r="M38" s="12" t="inlineStr">
        <is>
          <t>HPS jurnal</t>
        </is>
      </c>
    </row>
    <row r="39" ht="34" customHeight="1">
      <c r="A39" s="12" t="n"/>
      <c r="B39" s="12" t="n"/>
      <c r="C39" s="12" t="n">
        <v>2</v>
      </c>
      <c r="D39" s="12" t="inlineStr">
        <is>
          <t>Pendaftaran paten sederhana + konsultasi KI</t>
        </is>
      </c>
      <c r="E39" s="12" t="inlineStr">
        <is>
          <t>Biaya pendaftaran dan konsultasi</t>
        </is>
      </c>
      <c r="F39" s="12" t="n">
        <v>1</v>
      </c>
      <c r="G39" s="12" t="n">
        <v>1</v>
      </c>
      <c r="H39" s="84" t="n">
        <v>6000000</v>
      </c>
      <c r="I39" s="84" t="inlineStr">
        <is>
          <t>paket</t>
        </is>
      </c>
      <c r="J39" s="84" t="n">
        <v>6000000</v>
      </c>
      <c r="K39" s="84" t="n">
        <v>6000000</v>
      </c>
      <c r="L39" s="84" t="n">
        <v>0</v>
      </c>
      <c r="M39" s="12" t="inlineStr">
        <is>
          <t>DJKI/HPS</t>
        </is>
      </c>
    </row>
    <row r="40" ht="34" customHeight="1">
      <c r="A40" s="12" t="n"/>
      <c r="B40" s="12" t="n"/>
      <c r="C40" s="12" t="n">
        <v>3</v>
      </c>
      <c r="D40" s="12" t="inlineStr">
        <is>
          <t>FGD validasi hasil + diseminasi</t>
        </is>
      </c>
      <c r="E40" s="12" t="inlineStr">
        <is>
          <t>Penerimaan pengguna, SOP, transfer pengetahuan</t>
        </is>
      </c>
      <c r="F40" s="12" t="n">
        <v>1</v>
      </c>
      <c r="G40" s="12" t="n">
        <v>1</v>
      </c>
      <c r="H40" s="84" t="n">
        <v>8000000</v>
      </c>
      <c r="I40" s="84" t="inlineStr">
        <is>
          <t>paket</t>
        </is>
      </c>
      <c r="J40" s="84" t="n">
        <v>8000000</v>
      </c>
      <c r="K40" s="84" t="n">
        <v>8000000</v>
      </c>
      <c r="L40" s="84" t="n">
        <v>0</v>
      </c>
      <c r="M40" s="12" t="inlineStr">
        <is>
          <t>SBM/internal</t>
        </is>
      </c>
    </row>
    <row r="41" ht="34" customHeight="1">
      <c r="A41" s="12" t="n"/>
      <c r="B41" s="12" t="n"/>
      <c r="C41" s="12" t="n">
        <v>4</v>
      </c>
      <c r="D41" s="12" t="inlineStr">
        <is>
          <t>Perjalanan monitoring &amp; pengambilan data (6×)</t>
        </is>
      </c>
      <c r="E41" s="12" t="inlineStr">
        <is>
          <t>Monitoring pilot Sleman, troubleshooting, evaluasi</t>
        </is>
      </c>
      <c r="F41" s="12" t="n">
        <v>6</v>
      </c>
      <c r="G41" s="12" t="n">
        <v>1</v>
      </c>
      <c r="H41" s="84" t="n">
        <v>3000000</v>
      </c>
      <c r="I41" s="84" t="inlineStr">
        <is>
          <t>kali</t>
        </is>
      </c>
      <c r="J41" s="84" t="n">
        <v>18000000</v>
      </c>
      <c r="K41" s="84" t="n">
        <v>18000000</v>
      </c>
      <c r="L41" s="84" t="n">
        <v>0</v>
      </c>
      <c r="M41" s="12" t="inlineStr">
        <is>
          <t>SBM tahun berjalan</t>
        </is>
      </c>
    </row>
    <row r="42" ht="34" customHeight="1">
      <c r="A42" s="12" t="n"/>
      <c r="B42" s="12" t="n"/>
      <c r="C42" s="12" t="n">
        <v>5</v>
      </c>
      <c r="D42" s="12" t="inlineStr">
        <is>
          <t>Seminar/konferensi nasional</t>
        </is>
      </c>
      <c r="E42" s="12" t="inlineStr">
        <is>
          <t>Presentasi hasil riset</t>
        </is>
      </c>
      <c r="F42" s="12" t="n">
        <v>2</v>
      </c>
      <c r="G42" s="12" t="n">
        <v>1</v>
      </c>
      <c r="H42" s="84" t="n">
        <v>5000000</v>
      </c>
      <c r="I42" s="84" t="inlineStr">
        <is>
          <t>kali</t>
        </is>
      </c>
      <c r="J42" s="84" t="n">
        <v>10000000</v>
      </c>
      <c r="K42" s="84" t="n">
        <v>10000000</v>
      </c>
      <c r="L42" s="84" t="n">
        <v>0</v>
      </c>
      <c r="M42" s="12" t="inlineStr">
        <is>
          <t>SBM</t>
        </is>
      </c>
    </row>
    <row r="43" ht="34" customHeight="1">
      <c r="A43" s="12" t="n"/>
      <c r="B43" s="12" t="n"/>
      <c r="C43" s="12" t="inlineStr">
        <is>
          <t>Subtotal</t>
        </is>
      </c>
      <c r="D43" s="12" t="inlineStr">
        <is>
          <t>AC/DC cabling</t>
        </is>
      </c>
      <c r="E43" s="12" t="inlineStr">
        <is>
          <t>Kabel daya PV–BESS–grid dan charger</t>
        </is>
      </c>
      <c r="F43" s="12" t="n">
        <v>1</v>
      </c>
      <c r="G43" s="12" t="n">
        <v>1</v>
      </c>
      <c r="H43" s="84" t="n">
        <v>6000000</v>
      </c>
      <c r="I43" s="84" t="inlineStr">
        <is>
          <t>lot</t>
        </is>
      </c>
      <c r="J43" s="84" t="n">
        <v>54000000</v>
      </c>
      <c r="K43" s="84" t="n">
        <v>54000000</v>
      </c>
      <c r="L43" s="84" t="n">
        <v>0</v>
      </c>
      <c r="M43" s="12" t="inlineStr">
        <is>
          <t>Bahan prototipe</t>
        </is>
      </c>
    </row>
    <row r="44" ht="34" customHeight="1">
      <c r="A44" s="12" t="n"/>
      <c r="B44" s="12" t="inlineStr">
        <is>
          <t>B.2.2</t>
        </is>
      </c>
      <c r="C44" s="12" t="inlineStr">
        <is>
          <t>Luaran Akhir &amp; Pelaporan</t>
        </is>
      </c>
      <c r="D44" s="12" t="inlineStr">
        <is>
          <t>Terminal, cable gland dan safety label</t>
        </is>
      </c>
      <c r="E44" s="12" t="inlineStr">
        <is>
          <t>Perakitan panel dan penandaan keselamatan</t>
        </is>
      </c>
      <c r="F44" s="12" t="n">
        <v>1</v>
      </c>
      <c r="G44" s="12" t="n">
        <v>1</v>
      </c>
      <c r="H44" s="84" t="n">
        <v>3000000</v>
      </c>
      <c r="I44" s="84" t="inlineStr">
        <is>
          <t>lot</t>
        </is>
      </c>
      <c r="J44" s="84">
        <f>F44*G44*H44</f>
        <v/>
      </c>
      <c r="K44" s="84">
        <f>J44-L44</f>
        <v/>
      </c>
      <c r="L44" s="84" t="n">
        <v>0</v>
      </c>
      <c r="M44" s="12" t="inlineStr">
        <is>
          <t>Bahan prototipe</t>
        </is>
      </c>
    </row>
    <row r="45" ht="34" customHeight="1">
      <c r="A45" s="12" t="n"/>
      <c r="B45" s="12" t="n"/>
      <c r="C45" s="12" t="n">
        <v>1</v>
      </c>
      <c r="D45" s="12" t="inlineStr">
        <is>
          <t>Data curation, deposit RIN, model card final</t>
        </is>
      </c>
      <c r="E45" s="12" t="inlineStr">
        <is>
          <t>Dataset v2, metadata, reproducibility package</t>
        </is>
      </c>
      <c r="F45" s="12" t="n">
        <v>1</v>
      </c>
      <c r="G45" s="12" t="n">
        <v>1</v>
      </c>
      <c r="H45" s="84" t="n">
        <v>7000000</v>
      </c>
      <c r="I45" s="84" t="inlineStr">
        <is>
          <t>paket</t>
        </is>
      </c>
      <c r="J45" s="84" t="n">
        <v>7000000</v>
      </c>
      <c r="K45" s="84" t="n">
        <v>7000000</v>
      </c>
      <c r="L45" s="84" t="n">
        <v>0</v>
      </c>
      <c r="M45" s="12" t="inlineStr">
        <is>
          <t>HPS jasa data</t>
        </is>
      </c>
    </row>
    <row r="46" ht="34" customHeight="1">
      <c r="A46" s="12" t="n"/>
      <c r="B46" s="12" t="n"/>
      <c r="C46" s="12" t="n">
        <v>2</v>
      </c>
      <c r="D46" s="12" t="inlineStr">
        <is>
          <t>Feasibility dan techno-economic brief</t>
        </is>
      </c>
      <c r="E46" s="12" t="inlineStr">
        <is>
          <t>Analisis biaya, emisi, ESG, strategi hilirisasi</t>
        </is>
      </c>
      <c r="F46" s="12" t="n">
        <v>1</v>
      </c>
      <c r="G46" s="12" t="n">
        <v>1</v>
      </c>
      <c r="H46" s="84" t="n">
        <v>6000000</v>
      </c>
      <c r="I46" s="84" t="inlineStr">
        <is>
          <t>paket</t>
        </is>
      </c>
      <c r="J46" s="84" t="n">
        <v>6000000</v>
      </c>
      <c r="K46" s="84" t="n">
        <v>6000000</v>
      </c>
      <c r="L46" s="84" t="n">
        <v>0</v>
      </c>
      <c r="M46" s="12" t="inlineStr">
        <is>
          <t>HPS jasa konsultan</t>
        </is>
      </c>
    </row>
    <row r="47" ht="34" customHeight="1">
      <c r="A47" s="12" t="n"/>
      <c r="B47" s="12" t="n"/>
      <c r="C47" s="12" t="n">
        <v>3</v>
      </c>
      <c r="D47" s="12" t="inlineStr">
        <is>
          <t>Laporan akhir + SOP + paket replikasi</t>
        </is>
      </c>
      <c r="E47" s="12" t="inlineStr">
        <is>
          <t>Dokumentasi akhir, SOP operasi, panduan replikasi</t>
        </is>
      </c>
      <c r="F47" s="12" t="n">
        <v>1</v>
      </c>
      <c r="G47" s="12" t="n">
        <v>1</v>
      </c>
      <c r="H47" s="84" t="n">
        <v>7000000</v>
      </c>
      <c r="I47" s="84" t="inlineStr">
        <is>
          <t>paket</t>
        </is>
      </c>
      <c r="J47" s="84" t="n">
        <v>7000000</v>
      </c>
      <c r="K47" s="84" t="n">
        <v>7000000</v>
      </c>
      <c r="L47" s="84" t="n">
        <v>0</v>
      </c>
      <c r="M47" s="12" t="inlineStr">
        <is>
          <t>HPS jasa</t>
        </is>
      </c>
    </row>
    <row r="48" ht="34" customHeight="1">
      <c r="A48" s="12" t="n"/>
      <c r="B48" s="12" t="n"/>
      <c r="C48" s="12" t="n">
        <v>4</v>
      </c>
      <c r="D48" s="12" t="inlineStr">
        <is>
          <t>Penetration test + independent security review</t>
        </is>
      </c>
      <c r="E48" s="12" t="inlineStr">
        <is>
          <t>Audit keamanan gateway, API, cloud, dashboard</t>
        </is>
      </c>
      <c r="F48" s="12" t="n">
        <v>1</v>
      </c>
      <c r="G48" s="12" t="n">
        <v>1</v>
      </c>
      <c r="H48" s="84" t="n">
        <v>7000000</v>
      </c>
      <c r="I48" s="84" t="inlineStr">
        <is>
          <t>paket</t>
        </is>
      </c>
      <c r="J48" s="84" t="n">
        <v>7000000</v>
      </c>
      <c r="K48" s="84" t="n">
        <v>7000000</v>
      </c>
      <c r="L48" s="84" t="n">
        <v>0</v>
      </c>
      <c r="M48" s="12" t="inlineStr">
        <is>
          <t>HPS jasa cybersecurity</t>
        </is>
      </c>
    </row>
    <row r="49" ht="34" customHeight="1">
      <c r="A49" s="44" t="n"/>
      <c r="B49" s="44" t="n"/>
      <c r="C49" s="44" t="inlineStr">
        <is>
          <t>Subtotal</t>
        </is>
      </c>
      <c r="D49" s="44" t="n"/>
      <c r="E49" s="44" t="n"/>
      <c r="F49" s="44" t="n"/>
      <c r="G49" s="44" t="n"/>
      <c r="H49" s="85" t="n"/>
      <c r="I49" s="85" t="n"/>
      <c r="J49" s="85" t="n">
        <v>27000000</v>
      </c>
      <c r="K49" s="85" t="n">
        <v>27000000</v>
      </c>
      <c r="L49" s="85" t="n">
        <v>0</v>
      </c>
      <c r="M49" s="44" t="n"/>
    </row>
    <row r="50" ht="34" customHeight="1">
      <c r="A50" s="44" t="n"/>
      <c r="B50" s="44" t="inlineStr">
        <is>
          <t>Total Indikator 2</t>
        </is>
      </c>
      <c r="C50" s="44" t="n"/>
      <c r="D50" s="44" t="n"/>
      <c r="E50" s="44" t="n"/>
      <c r="F50" s="44" t="n"/>
      <c r="G50" s="44" t="n"/>
      <c r="H50" s="85" t="n"/>
      <c r="I50" s="85" t="n"/>
      <c r="J50" s="85" t="n">
        <v>81000000</v>
      </c>
      <c r="K50" s="85" t="n">
        <v>81000000</v>
      </c>
      <c r="L50" s="85" t="n">
        <v>0</v>
      </c>
      <c r="M50" s="44" t="n"/>
    </row>
    <row r="51" ht="34" customHeight="1">
      <c r="A51" s="42" t="inlineStr">
        <is>
          <t>TOTAL BLNP</t>
        </is>
      </c>
      <c r="B51" s="42" t="inlineStr">
        <is>
          <t>B.2</t>
        </is>
      </c>
      <c r="C51" s="42" t="inlineStr">
        <is>
          <t>Indikator 2</t>
        </is>
      </c>
      <c r="D51" s="42" t="inlineStr">
        <is>
          <t>Pilot, monitoring, keamanan dan luaran akhir</t>
        </is>
      </c>
      <c r="E51" s="42" t="inlineStr">
        <is>
          <t>Commissioning, operasi multi-kondisi, analisis dan paket replikasi.</t>
        </is>
      </c>
      <c r="F51" s="42" t="n"/>
      <c r="G51" s="42" t="n"/>
      <c r="H51" s="82" t="n"/>
      <c r="I51" s="82" t="n"/>
      <c r="J51" s="82" t="n">
        <v>148600000</v>
      </c>
      <c r="K51" s="82" t="n">
        <v>148600000</v>
      </c>
      <c r="L51" s="82" t="n"/>
      <c r="M51" s="42" t="n"/>
    </row>
    <row r="52" ht="34" customHeight="1">
      <c r="A52" s="43" t="inlineStr">
        <is>
          <t>TOTAL I (BIAYA LANGSUNG)</t>
        </is>
      </c>
      <c r="B52" s="43" t="inlineStr">
        <is>
          <t>B.2.1</t>
        </is>
      </c>
      <c r="C52" s="43" t="inlineStr">
        <is>
          <t>Operasi dan Jasa Pengujian</t>
        </is>
      </c>
      <c r="D52" s="43" t="n"/>
      <c r="E52" s="43" t="n"/>
      <c r="F52" s="43" t="n"/>
      <c r="G52" s="43" t="n"/>
      <c r="H52" s="83" t="n"/>
      <c r="I52" s="83" t="n"/>
      <c r="J52" s="83" t="n">
        <v>201400000</v>
      </c>
      <c r="K52" s="83" t="n">
        <v>201400000</v>
      </c>
      <c r="L52" s="83" t="n"/>
      <c r="M52" s="43" t="n"/>
    </row>
    <row r="53" ht="34" customHeight="1">
      <c r="A53" s="12" t="n"/>
      <c r="B53" s="12" t="inlineStr">
        <is>
          <t>A.</t>
        </is>
      </c>
      <c r="C53" s="12" t="inlineStr">
        <is>
          <t>Monitoring Internal</t>
        </is>
      </c>
      <c r="D53" s="12" t="inlineStr">
        <is>
          <t>Instalasi, commissioning dan safety verification</t>
        </is>
      </c>
      <c r="E53" s="12" t="inlineStr">
        <is>
          <t>Integrasi grid/islanding dan commissioning report</t>
        </is>
      </c>
      <c r="F53" s="12" t="n">
        <v>1</v>
      </c>
      <c r="G53" s="12" t="n">
        <v>1</v>
      </c>
      <c r="H53" s="84" t="n">
        <v>15000000</v>
      </c>
      <c r="I53" s="84" t="inlineStr">
        <is>
          <t>paket</t>
        </is>
      </c>
      <c r="J53" s="84">
        <f>F53*G53*H53</f>
        <v/>
      </c>
      <c r="K53" s="84">
        <f>J53-L53</f>
        <v/>
      </c>
      <c r="L53" s="84" t="n">
        <v>0</v>
      </c>
      <c r="M53" s="12" t="inlineStr">
        <is>
          <t>HPS jasa teknis</t>
        </is>
      </c>
    </row>
    <row r="54" ht="34" customHeight="1">
      <c r="A54" s="12" t="n"/>
      <c r="B54" s="12" t="n"/>
      <c r="C54" s="12" t="n">
        <v>1</v>
      </c>
      <c r="D54" s="12" t="inlineStr">
        <is>
          <t>Honor reviewer + transport + akomodasi</t>
        </is>
      </c>
      <c r="E54" s="12" t="inlineStr">
        <is>
          <t>Monev tahap II</t>
        </is>
      </c>
      <c r="F54" s="12" t="n">
        <v>1</v>
      </c>
      <c r="G54" s="12" t="n">
        <v>1</v>
      </c>
      <c r="H54" s="84" t="n">
        <v>5750000</v>
      </c>
      <c r="I54" s="84" t="inlineStr">
        <is>
          <t>paket</t>
        </is>
      </c>
      <c r="J54" s="84" t="n">
        <v>5750000</v>
      </c>
      <c r="K54" s="84" t="n">
        <v>5750000</v>
      </c>
      <c r="L54" s="84" t="n">
        <v>0</v>
      </c>
      <c r="M54" s="12" t="inlineStr">
        <is>
          <t>SBM</t>
        </is>
      </c>
    </row>
    <row r="55" ht="34" customHeight="1">
      <c r="A55" s="12" t="n"/>
      <c r="B55" s="12" t="n"/>
      <c r="C55" s="12" t="inlineStr">
        <is>
          <t>Subtotal</t>
        </is>
      </c>
      <c r="D55" s="12" t="inlineStr">
        <is>
          <t>Cloud, database, konektivitas dan backup</t>
        </is>
      </c>
      <c r="E55" s="12" t="inlineStr">
        <is>
          <t>Operasi CSMS/CMS/EMS selama Tahun II</t>
        </is>
      </c>
      <c r="F55" s="12" t="n">
        <v>1</v>
      </c>
      <c r="G55" s="12" t="n">
        <v>1</v>
      </c>
      <c r="H55" s="84" t="n">
        <v>6000000</v>
      </c>
      <c r="I55" s="84" t="inlineStr">
        <is>
          <t>paket</t>
        </is>
      </c>
      <c r="J55" s="84" t="n">
        <v>5750000</v>
      </c>
      <c r="K55" s="84" t="n">
        <v>5750000</v>
      </c>
      <c r="L55" s="84" t="n">
        <v>0</v>
      </c>
      <c r="M55" s="12" t="inlineStr">
        <is>
          <t>HPS layanan</t>
        </is>
      </c>
    </row>
    <row r="56" ht="34" customHeight="1">
      <c r="A56" s="12" t="n"/>
      <c r="B56" s="12" t="n"/>
      <c r="C56" s="12" t="n">
        <v>4</v>
      </c>
      <c r="D56" s="12" t="inlineStr">
        <is>
          <t>Preventive maintenance</t>
        </is>
      </c>
      <c r="E56" s="12" t="inlineStr">
        <is>
          <t>Inspeksi, cleaning, torque check dan health check</t>
        </is>
      </c>
      <c r="F56" s="12" t="n">
        <v>1</v>
      </c>
      <c r="G56" s="12" t="n">
        <v>1</v>
      </c>
      <c r="H56" s="84" t="n">
        <v>5000000</v>
      </c>
      <c r="I56" s="84" t="inlineStr">
        <is>
          <t>paket</t>
        </is>
      </c>
      <c r="J56" s="84">
        <f>F56*G56*H56</f>
        <v/>
      </c>
      <c r="K56" s="84">
        <f>J56-L56</f>
        <v/>
      </c>
      <c r="L56" s="84" t="n">
        <v>0</v>
      </c>
      <c r="M56" s="12" t="inlineStr">
        <is>
          <t>HPS vendor</t>
        </is>
      </c>
    </row>
    <row r="57" ht="34" customHeight="1">
      <c r="A57" s="12" t="n"/>
      <c r="B57" s="12" t="inlineStr">
        <is>
          <t>B.</t>
        </is>
      </c>
      <c r="C57" s="12" t="inlineStr">
        <is>
          <t>Evaluasi Akhir</t>
        </is>
      </c>
      <c r="D57" s="12" t="inlineStr">
        <is>
          <t>Penetration test dan independent code review</t>
        </is>
      </c>
      <c r="E57" s="12" t="inlineStr">
        <is>
          <t>Audit gateway, API, cloud dan dashboard</t>
        </is>
      </c>
      <c r="F57" s="12" t="n">
        <v>1</v>
      </c>
      <c r="G57" s="12" t="n">
        <v>1</v>
      </c>
      <c r="H57" s="84" t="n">
        <v>5700000</v>
      </c>
      <c r="I57" s="84" t="inlineStr">
        <is>
          <t>paket</t>
        </is>
      </c>
      <c r="J57" s="84">
        <f>F57*G57*H57</f>
        <v/>
      </c>
      <c r="K57" s="84">
        <f>J57-L57</f>
        <v/>
      </c>
      <c r="L57" s="84" t="n">
        <v>0</v>
      </c>
      <c r="M57" s="12" t="inlineStr">
        <is>
          <t>HPS jasa cybersecurity</t>
        </is>
      </c>
    </row>
    <row r="58" ht="34" customHeight="1">
      <c r="A58" s="44" t="n"/>
      <c r="B58" s="44" t="n"/>
      <c r="C58" s="44" t="n">
        <v>1</v>
      </c>
      <c r="D58" s="44" t="inlineStr">
        <is>
          <t>Honor reviewer + transport + akomodasi</t>
        </is>
      </c>
      <c r="E58" s="44" t="inlineStr">
        <is>
          <t>Evaluasi akhir program</t>
        </is>
      </c>
      <c r="F58" s="44" t="n">
        <v>1</v>
      </c>
      <c r="G58" s="44" t="n">
        <v>1</v>
      </c>
      <c r="H58" s="85" t="n">
        <v>5750000</v>
      </c>
      <c r="I58" s="85" t="inlineStr">
        <is>
          <t>paket</t>
        </is>
      </c>
      <c r="J58" s="85" t="n">
        <v>5750000</v>
      </c>
      <c r="K58" s="85" t="n">
        <v>5750000</v>
      </c>
      <c r="L58" s="85" t="n">
        <v>0</v>
      </c>
      <c r="M58" s="44" t="inlineStr">
        <is>
          <t>SBM</t>
        </is>
      </c>
    </row>
    <row r="59" ht="34" customHeight="1">
      <c r="A59" s="43" t="n"/>
      <c r="B59" s="43" t="inlineStr">
        <is>
          <t>B.2.2</t>
        </is>
      </c>
      <c r="C59" s="43" t="inlineStr">
        <is>
          <t>Subtotal</t>
        </is>
      </c>
      <c r="D59" s="43" t="n"/>
      <c r="E59" s="43" t="n"/>
      <c r="F59" s="43" t="n"/>
      <c r="G59" s="43" t="n"/>
      <c r="H59" s="83" t="n"/>
      <c r="I59" s="83" t="n"/>
      <c r="J59" s="83" t="n">
        <v>5750000</v>
      </c>
      <c r="K59" s="83" t="n">
        <v>5750000</v>
      </c>
      <c r="L59" s="83" t="n">
        <v>0</v>
      </c>
      <c r="M59" s="43" t="n"/>
    </row>
    <row r="60" ht="34" customHeight="1">
      <c r="A60" s="12" t="inlineStr">
        <is>
          <t>TOTAL II (BTL)</t>
        </is>
      </c>
      <c r="B60" s="12" t="n"/>
      <c r="C60" s="12" t="n">
        <v>1</v>
      </c>
      <c r="D60" s="12" t="inlineStr">
        <is>
          <t>Perjalanan commissioning dan monitoring</t>
        </is>
      </c>
      <c r="E60" s="12" t="inlineStr">
        <is>
          <t>Pengambilan data, troubleshooting dan evaluasi lokasi</t>
        </is>
      </c>
      <c r="F60" s="12" t="n">
        <v>1</v>
      </c>
      <c r="G60" s="12" t="n">
        <v>1</v>
      </c>
      <c r="H60" s="84" t="n">
        <v>8000000</v>
      </c>
      <c r="I60" s="84" t="inlineStr">
        <is>
          <t>paket</t>
        </is>
      </c>
      <c r="J60" s="84" t="n">
        <v>12500000</v>
      </c>
      <c r="K60" s="84" t="n">
        <v>12500000</v>
      </c>
      <c r="L60" s="84" t="n">
        <v>0</v>
      </c>
      <c r="M60" s="12" t="inlineStr">
        <is>
          <t>SBM tahun berjalan</t>
        </is>
      </c>
    </row>
    <row r="61" ht="34" customHeight="1">
      <c r="A61" s="12" t="inlineStr">
        <is>
          <t>TOTAL BIAYA (I + II)</t>
        </is>
      </c>
      <c r="B61" s="12" t="n"/>
      <c r="C61" s="12" t="n">
        <v>2</v>
      </c>
      <c r="D61" s="12" t="inlineStr">
        <is>
          <t>FGD validasi, SOP dan diseminasi</t>
        </is>
      </c>
      <c r="E61" s="12" t="inlineStr">
        <is>
          <t>Penerimaan pengguna dan transfer pengetahuan</t>
        </is>
      </c>
      <c r="F61" s="12" t="n">
        <v>1</v>
      </c>
      <c r="G61" s="12" t="n">
        <v>1</v>
      </c>
      <c r="H61" s="84" t="n">
        <v>4000000</v>
      </c>
      <c r="I61" s="84" t="inlineStr">
        <is>
          <t>paket</t>
        </is>
      </c>
      <c r="J61" s="84" t="n">
        <v>213900000</v>
      </c>
      <c r="K61" s="84" t="n">
        <v>213900000</v>
      </c>
      <c r="L61" s="84" t="n">
        <v>0</v>
      </c>
      <c r="M61" s="12" t="inlineStr">
        <is>
          <t>SBM/internal</t>
        </is>
      </c>
    </row>
    <row r="62" ht="34" customHeight="1">
      <c r="A62" s="12" t="n"/>
      <c r="B62" s="12" t="n"/>
      <c r="C62" s="12" t="n">
        <v>3</v>
      </c>
      <c r="D62" s="12" t="inlineStr">
        <is>
          <t>Penyempurnaan KI</t>
        </is>
      </c>
      <c r="E62" s="12" t="inlineStr">
        <is>
          <t>Respons pemeriksaan dan perbaikan dokumen paten</t>
        </is>
      </c>
      <c r="F62" s="12" t="n">
        <v>1</v>
      </c>
      <c r="G62" s="12" t="n">
        <v>1</v>
      </c>
      <c r="H62" s="84" t="n">
        <v>3000000</v>
      </c>
      <c r="I62" s="84" t="inlineStr">
        <is>
          <t>paket</t>
        </is>
      </c>
      <c r="J62" s="84">
        <f>F62*G62*H62</f>
        <v/>
      </c>
      <c r="K62" s="84">
        <f>J62-L62</f>
        <v/>
      </c>
      <c r="L62" s="84" t="n">
        <v>0</v>
      </c>
      <c r="M62" s="12" t="inlineStr">
        <is>
          <t>DJKI/HPS jasa</t>
        </is>
      </c>
    </row>
    <row r="63" ht="34" customHeight="1">
      <c r="A63" s="12" t="n"/>
      <c r="B63" s="12" t="n"/>
      <c r="C63" s="12" t="n">
        <v>4</v>
      </c>
      <c r="D63" s="12" t="inlineStr">
        <is>
          <t>Data curation, deposit RIN dan model card</t>
        </is>
      </c>
      <c r="E63" s="12" t="inlineStr">
        <is>
          <t>Dataset v2, metadata dan reproducibility package</t>
        </is>
      </c>
      <c r="F63" s="12" t="n">
        <v>1</v>
      </c>
      <c r="G63" s="12" t="n">
        <v>1</v>
      </c>
      <c r="H63" s="84" t="n">
        <v>3000000</v>
      </c>
      <c r="I63" s="84" t="inlineStr">
        <is>
          <t>paket</t>
        </is>
      </c>
      <c r="J63" s="84">
        <f>F63*G63*H63</f>
        <v/>
      </c>
      <c r="K63" s="84">
        <f>J63-L63</f>
        <v/>
      </c>
      <c r="L63" s="84" t="n">
        <v>0</v>
      </c>
      <c r="M63" s="12" t="inlineStr">
        <is>
          <t>HPS jasa data</t>
        </is>
      </c>
    </row>
    <row r="64" ht="34" customHeight="1">
      <c r="A64" s="12" t="n"/>
      <c r="B64" s="12" t="n"/>
      <c r="C64" s="12" t="n">
        <v>5</v>
      </c>
      <c r="D64" s="12" t="inlineStr">
        <is>
          <t>Feasibility dan techno-economic brief</t>
        </is>
      </c>
      <c r="E64" s="12" t="inlineStr">
        <is>
          <t>Analisis biaya, emisi, ESG dan strategi hilirisasi</t>
        </is>
      </c>
      <c r="F64" s="12" t="n">
        <v>1</v>
      </c>
      <c r="G64" s="12" t="n">
        <v>1</v>
      </c>
      <c r="H64" s="84" t="n">
        <v>2000000</v>
      </c>
      <c r="I64" s="84" t="inlineStr">
        <is>
          <t>paket</t>
        </is>
      </c>
      <c r="J64" s="84">
        <f>F64*G64*H64</f>
        <v/>
      </c>
      <c r="K64" s="84">
        <f>J64-L64</f>
        <v/>
      </c>
      <c r="L64" s="84" t="n">
        <v>0</v>
      </c>
      <c r="M64" s="12" t="inlineStr">
        <is>
          <t>HPS jasa</t>
        </is>
      </c>
    </row>
    <row r="65" ht="34" customHeight="1">
      <c r="A65" s="44" t="n"/>
      <c r="B65" s="44" t="n"/>
      <c r="C65" s="44" t="inlineStr">
        <is>
          <t>Subtotal</t>
        </is>
      </c>
      <c r="D65" s="44" t="n"/>
      <c r="E65" s="44" t="n"/>
      <c r="F65" s="44" t="n"/>
      <c r="G65" s="44" t="n"/>
      <c r="H65" s="85" t="n"/>
      <c r="I65" s="85" t="n"/>
      <c r="J65" s="85">
        <f>SUM(J60:J64)</f>
        <v/>
      </c>
      <c r="K65" s="85">
        <f>SUM(K60:K64)</f>
        <v/>
      </c>
      <c r="L65" s="85">
        <f>SUM(L60:L64)</f>
        <v/>
      </c>
      <c r="M65" s="44" t="n"/>
    </row>
    <row r="66" ht="34" customHeight="1">
      <c r="A66" s="44" t="n"/>
      <c r="B66" s="44" t="inlineStr">
        <is>
          <t>Total Indikator</t>
        </is>
      </c>
      <c r="C66" s="44" t="n"/>
      <c r="D66" s="44" t="n"/>
      <c r="E66" s="44" t="n"/>
      <c r="F66" s="44" t="n"/>
      <c r="G66" s="44" t="n"/>
      <c r="H66" s="85" t="n"/>
      <c r="I66" s="85" t="n"/>
      <c r="J66" s="85">
        <f>J58+J65</f>
        <v/>
      </c>
      <c r="K66" s="85">
        <f>K58+K65</f>
        <v/>
      </c>
      <c r="L66" s="85">
        <f>L58+L65</f>
        <v/>
      </c>
      <c r="M66" s="44" t="n"/>
    </row>
    <row r="67" ht="34" customHeight="1">
      <c r="A67" s="45" t="inlineStr">
        <is>
          <t>TOTAL BLNP</t>
        </is>
      </c>
      <c r="B67" s="45" t="n"/>
      <c r="C67" s="45" t="n"/>
      <c r="D67" s="45" t="n"/>
      <c r="E67" s="45" t="n"/>
      <c r="F67" s="45" t="n"/>
      <c r="G67" s="45" t="n"/>
      <c r="H67" s="86" t="n"/>
      <c r="I67" s="86" t="n"/>
      <c r="J67" s="86">
        <f>J50+J66</f>
        <v/>
      </c>
      <c r="K67" s="86">
        <f>K50+K66</f>
        <v/>
      </c>
      <c r="L67" s="86">
        <f>L50+L66</f>
        <v/>
      </c>
      <c r="M67" s="45" t="n"/>
    </row>
    <row r="68" ht="34" customHeight="1">
      <c r="A68" s="45" t="inlineStr">
        <is>
          <t>TOTAL I (BIAYA LANGSUNG)</t>
        </is>
      </c>
      <c r="B68" s="45" t="n"/>
      <c r="C68" s="45" t="n"/>
      <c r="D68" s="45" t="n"/>
      <c r="E68" s="45" t="n"/>
      <c r="F68" s="45" t="n"/>
      <c r="G68" s="45" t="n"/>
      <c r="H68" s="86" t="n"/>
      <c r="I68" s="86" t="n"/>
      <c r="J68" s="86">
        <f>J18+J67</f>
        <v/>
      </c>
      <c r="K68" s="86">
        <f>K18+K67</f>
        <v/>
      </c>
      <c r="L68" s="86">
        <f>L18+L67</f>
        <v/>
      </c>
      <c r="M68" s="45" t="n"/>
    </row>
    <row r="69" ht="34" customHeight="1">
      <c r="A69" s="12" t="n"/>
      <c r="B69" s="12" t="n"/>
      <c r="C69" s="12" t="n"/>
      <c r="D69" s="12" t="n"/>
      <c r="E69" s="12" t="n"/>
      <c r="F69" s="12" t="n"/>
      <c r="G69" s="12" t="n"/>
      <c r="H69" s="84" t="n"/>
      <c r="I69" s="84" t="n"/>
      <c r="J69" s="84" t="n"/>
      <c r="K69" s="84" t="n"/>
      <c r="L69" s="84" t="n"/>
      <c r="M69" s="12" t="n"/>
    </row>
    <row r="70" ht="34" customHeight="1">
      <c r="A70" s="42" t="inlineStr">
        <is>
          <t>II.</t>
        </is>
      </c>
      <c r="B70" s="42" t="inlineStr">
        <is>
          <t>BIAYA TIDAK LANGSUNG</t>
        </is>
      </c>
      <c r="C70" s="42" t="n"/>
      <c r="D70" s="42" t="n"/>
      <c r="E70" s="42" t="n"/>
      <c r="F70" s="42" t="n"/>
      <c r="G70" s="42" t="n"/>
      <c r="H70" s="82" t="n"/>
      <c r="I70" s="82" t="n"/>
      <c r="J70" s="82" t="n"/>
      <c r="K70" s="82" t="n"/>
      <c r="L70" s="82" t="n"/>
      <c r="M70" s="42" t="n"/>
    </row>
    <row r="71" ht="34" customHeight="1">
      <c r="A71" s="43" t="n"/>
      <c r="B71" s="43" t="inlineStr">
        <is>
          <t>A.</t>
        </is>
      </c>
      <c r="C71" s="43" t="inlineStr">
        <is>
          <t>Monitoring Internal Tahap I</t>
        </is>
      </c>
      <c r="D71" s="43" t="inlineStr">
        <is>
          <t>Review metodologi, progres, DMP dan realisasi anggaran.</t>
        </is>
      </c>
      <c r="E71" s="43" t="n"/>
      <c r="F71" s="43" t="n"/>
      <c r="G71" s="43" t="n"/>
      <c r="H71" s="83" t="n"/>
      <c r="I71" s="83" t="n"/>
      <c r="J71" s="83" t="n"/>
      <c r="K71" s="83" t="n"/>
      <c r="L71" s="83" t="n"/>
      <c r="M71" s="43" t="n"/>
    </row>
    <row r="72" ht="34" customHeight="1">
      <c r="A72" s="12" t="n"/>
      <c r="B72" s="12" t="n"/>
      <c r="C72" s="12" t="n">
        <v>1</v>
      </c>
      <c r="D72" s="12" t="inlineStr">
        <is>
          <t>Honor reviewer internal</t>
        </is>
      </c>
      <c r="E72" s="12" t="inlineStr">
        <is>
          <t>Monev tahap I</t>
        </is>
      </c>
      <c r="F72" s="12" t="n">
        <v>2</v>
      </c>
      <c r="G72" s="12" t="n">
        <v>2</v>
      </c>
      <c r="H72" s="84" t="n">
        <v>1000000</v>
      </c>
      <c r="I72" s="84" t="inlineStr">
        <is>
          <t>OJ</t>
        </is>
      </c>
      <c r="J72" s="84">
        <f>F72*G72*H72</f>
        <v/>
      </c>
      <c r="K72" s="84">
        <f>J72-L72</f>
        <v/>
      </c>
      <c r="L72" s="84" t="n">
        <v>0</v>
      </c>
      <c r="M72" s="12" t="inlineStr">
        <is>
          <t>SBM/internal</t>
        </is>
      </c>
    </row>
    <row r="73" ht="34" customHeight="1">
      <c r="A73" s="12" t="n"/>
      <c r="B73" s="12" t="n"/>
      <c r="C73" s="12" t="n">
        <v>2</v>
      </c>
      <c r="D73" s="12" t="inlineStr">
        <is>
          <t>Transportasi reviewer</t>
        </is>
      </c>
      <c r="E73" s="12" t="inlineStr">
        <is>
          <t>Monev tahap I</t>
        </is>
      </c>
      <c r="F73" s="12" t="n">
        <v>2</v>
      </c>
      <c r="G73" s="12" t="n">
        <v>1</v>
      </c>
      <c r="H73" s="84" t="n">
        <v>500000</v>
      </c>
      <c r="I73" s="84" t="inlineStr">
        <is>
          <t>perjalanan</t>
        </is>
      </c>
      <c r="J73" s="84">
        <f>F73*G73*H73</f>
        <v/>
      </c>
      <c r="K73" s="84">
        <f>J73-L73</f>
        <v/>
      </c>
      <c r="L73" s="84" t="n">
        <v>0</v>
      </c>
      <c r="M73" s="12" t="inlineStr">
        <is>
          <t>SBM</t>
        </is>
      </c>
    </row>
    <row r="74" ht="34" customHeight="1">
      <c r="A74" s="12" t="n"/>
      <c r="B74" s="12" t="n"/>
      <c r="C74" s="12" t="n">
        <v>3</v>
      </c>
      <c r="D74" s="12" t="inlineStr">
        <is>
          <t>Akomodasi reviewer</t>
        </is>
      </c>
      <c r="E74" s="12" t="inlineStr">
        <is>
          <t>Monev tahap I</t>
        </is>
      </c>
      <c r="F74" s="12" t="n">
        <v>1</v>
      </c>
      <c r="G74" s="12" t="n">
        <v>1</v>
      </c>
      <c r="H74" s="84" t="n">
        <v>750000</v>
      </c>
      <c r="I74" s="84" t="inlineStr">
        <is>
          <t>malam</t>
        </is>
      </c>
      <c r="J74" s="84">
        <f>F74*G74*H74</f>
        <v/>
      </c>
      <c r="K74" s="84">
        <f>J74-L74</f>
        <v/>
      </c>
      <c r="L74" s="84" t="n">
        <v>0</v>
      </c>
      <c r="M74" s="12" t="inlineStr">
        <is>
          <t>SBM</t>
        </is>
      </c>
    </row>
    <row r="75" ht="34" customHeight="1">
      <c r="A75" s="12" t="n"/>
      <c r="B75" s="12" t="n"/>
      <c r="C75" s="12" t="n">
        <v>4</v>
      </c>
      <c r="D75" s="12" t="inlineStr">
        <is>
          <t>Konsumsi rapat monev</t>
        </is>
      </c>
      <c r="E75" s="12" t="inlineStr">
        <is>
          <t>Monev tahap I</t>
        </is>
      </c>
      <c r="F75" s="12" t="n">
        <v>10</v>
      </c>
      <c r="G75" s="12" t="n">
        <v>1</v>
      </c>
      <c r="H75" s="84" t="n">
        <v>50000</v>
      </c>
      <c r="I75" s="84" t="inlineStr">
        <is>
          <t>orang</t>
        </is>
      </c>
      <c r="J75" s="84">
        <f>F75*G75*H75</f>
        <v/>
      </c>
      <c r="K75" s="84">
        <f>J75-L75</f>
        <v/>
      </c>
      <c r="L75" s="84" t="n">
        <v>0</v>
      </c>
      <c r="M75" s="12" t="inlineStr">
        <is>
          <t>SBM/internal</t>
        </is>
      </c>
    </row>
    <row r="76" ht="34" customHeight="1">
      <c r="A76" s="44" t="n"/>
      <c r="B76" s="44" t="n"/>
      <c r="C76" s="44" t="inlineStr">
        <is>
          <t>Subtotal</t>
        </is>
      </c>
      <c r="D76" s="44" t="n"/>
      <c r="E76" s="44" t="n"/>
      <c r="F76" s="44" t="n"/>
      <c r="G76" s="44" t="n"/>
      <c r="H76" s="85" t="n"/>
      <c r="I76" s="85" t="n"/>
      <c r="J76" s="85">
        <f>SUM(J72:J75)</f>
        <v/>
      </c>
      <c r="K76" s="85">
        <f>SUM(K72:K75)</f>
        <v/>
      </c>
      <c r="L76" s="85">
        <f>SUM(L72:L75)</f>
        <v/>
      </c>
      <c r="M76" s="44" t="n"/>
    </row>
    <row r="77" ht="34" customHeight="1">
      <c r="A77" s="43" t="n"/>
      <c r="B77" s="43" t="inlineStr">
        <is>
          <t>B.</t>
        </is>
      </c>
      <c r="C77" s="43" t="inlineStr">
        <is>
          <t>Evaluasi Internal Akhir Periode</t>
        </is>
      </c>
      <c r="D77" s="43" t="inlineStr">
        <is>
          <t>Evaluasi TKT, luaran dan kesiapan periode berikutnya/akhir.</t>
        </is>
      </c>
      <c r="E77" s="43" t="n"/>
      <c r="F77" s="43" t="n"/>
      <c r="G77" s="43" t="n"/>
      <c r="H77" s="83" t="n"/>
      <c r="I77" s="83" t="n"/>
      <c r="J77" s="83" t="n"/>
      <c r="K77" s="83" t="n"/>
      <c r="L77" s="83" t="n"/>
      <c r="M77" s="43" t="n"/>
    </row>
    <row r="78" ht="34" customHeight="1">
      <c r="A78" s="12" t="n"/>
      <c r="B78" s="12" t="n"/>
      <c r="C78" s="12" t="n">
        <v>1</v>
      </c>
      <c r="D78" s="12" t="inlineStr">
        <is>
          <t>Honor reviewer internal</t>
        </is>
      </c>
      <c r="E78" s="12" t="inlineStr">
        <is>
          <t>Evaluasi akhir periode</t>
        </is>
      </c>
      <c r="F78" s="12" t="n">
        <v>2</v>
      </c>
      <c r="G78" s="12" t="n">
        <v>2</v>
      </c>
      <c r="H78" s="84" t="n">
        <v>1000000</v>
      </c>
      <c r="I78" s="84" t="inlineStr">
        <is>
          <t>OJ</t>
        </is>
      </c>
      <c r="J78" s="84">
        <f>F78*G78*H78</f>
        <v/>
      </c>
      <c r="K78" s="84">
        <f>J78-L78</f>
        <v/>
      </c>
      <c r="L78" s="84" t="n">
        <v>0</v>
      </c>
      <c r="M78" s="12" t="inlineStr">
        <is>
          <t>SBM/internal</t>
        </is>
      </c>
    </row>
    <row r="79" ht="34" customHeight="1">
      <c r="A79" s="12" t="n"/>
      <c r="B79" s="12" t="n"/>
      <c r="C79" s="12" t="n">
        <v>2</v>
      </c>
      <c r="D79" s="12" t="inlineStr">
        <is>
          <t>Transportasi reviewer</t>
        </is>
      </c>
      <c r="E79" s="12" t="inlineStr">
        <is>
          <t>Evaluasi akhir periode</t>
        </is>
      </c>
      <c r="F79" s="12" t="n">
        <v>2</v>
      </c>
      <c r="G79" s="12" t="n">
        <v>1</v>
      </c>
      <c r="H79" s="84" t="n">
        <v>500000</v>
      </c>
      <c r="I79" s="84" t="inlineStr">
        <is>
          <t>perjalanan</t>
        </is>
      </c>
      <c r="J79" s="84">
        <f>F79*G79*H79</f>
        <v/>
      </c>
      <c r="K79" s="84">
        <f>J79-L79</f>
        <v/>
      </c>
      <c r="L79" s="84" t="n">
        <v>0</v>
      </c>
      <c r="M79" s="12" t="inlineStr">
        <is>
          <t>SBM</t>
        </is>
      </c>
    </row>
    <row r="80" ht="34" customHeight="1">
      <c r="A80" s="12" t="n"/>
      <c r="B80" s="12" t="n"/>
      <c r="C80" s="12" t="n">
        <v>3</v>
      </c>
      <c r="D80" s="12" t="inlineStr">
        <is>
          <t>Akomodasi reviewer</t>
        </is>
      </c>
      <c r="E80" s="12" t="inlineStr">
        <is>
          <t>Evaluasi akhir periode</t>
        </is>
      </c>
      <c r="F80" s="12" t="n">
        <v>1</v>
      </c>
      <c r="G80" s="12" t="n">
        <v>1</v>
      </c>
      <c r="H80" s="84" t="n">
        <v>750000</v>
      </c>
      <c r="I80" s="84" t="inlineStr">
        <is>
          <t>malam</t>
        </is>
      </c>
      <c r="J80" s="84">
        <f>F80*G80*H80</f>
        <v/>
      </c>
      <c r="K80" s="84">
        <f>J80-L80</f>
        <v/>
      </c>
      <c r="L80" s="84" t="n">
        <v>0</v>
      </c>
      <c r="M80" s="12" t="inlineStr">
        <is>
          <t>SBM</t>
        </is>
      </c>
    </row>
    <row r="81" ht="34" customHeight="1">
      <c r="A81" s="12" t="n"/>
      <c r="B81" s="12" t="n"/>
      <c r="C81" s="12" t="n">
        <v>4</v>
      </c>
      <c r="D81" s="12" t="inlineStr">
        <is>
          <t>Konsumsi rapat evaluasi</t>
        </is>
      </c>
      <c r="E81" s="12" t="inlineStr">
        <is>
          <t>Evaluasi akhir periode</t>
        </is>
      </c>
      <c r="F81" s="12" t="n">
        <v>10</v>
      </c>
      <c r="G81" s="12" t="n">
        <v>1</v>
      </c>
      <c r="H81" s="84" t="n">
        <v>50000</v>
      </c>
      <c r="I81" s="84" t="inlineStr">
        <is>
          <t>orang</t>
        </is>
      </c>
      <c r="J81" s="84">
        <f>F81*G81*H81</f>
        <v/>
      </c>
      <c r="K81" s="84">
        <f>J81-L81</f>
        <v/>
      </c>
      <c r="L81" s="84" t="n">
        <v>0</v>
      </c>
      <c r="M81" s="12" t="inlineStr">
        <is>
          <t>SBM/internal</t>
        </is>
      </c>
    </row>
    <row r="82" ht="34" customHeight="1">
      <c r="A82" s="44" t="n"/>
      <c r="B82" s="44" t="n"/>
      <c r="C82" s="44" t="inlineStr">
        <is>
          <t>Subtotal</t>
        </is>
      </c>
      <c r="D82" s="44" t="n"/>
      <c r="E82" s="44" t="n"/>
      <c r="F82" s="44" t="n"/>
      <c r="G82" s="44" t="n"/>
      <c r="H82" s="85" t="n"/>
      <c r="I82" s="85" t="n"/>
      <c r="J82" s="85">
        <f>SUM(J78:J81)</f>
        <v/>
      </c>
      <c r="K82" s="85">
        <f>SUM(K78:K81)</f>
        <v/>
      </c>
      <c r="L82" s="85">
        <f>SUM(L78:L81)</f>
        <v/>
      </c>
      <c r="M82" s="44" t="n"/>
    </row>
    <row r="83" ht="34" customHeight="1">
      <c r="A83" s="45" t="inlineStr">
        <is>
          <t>TOTAL II (BTL)</t>
        </is>
      </c>
      <c r="B83" s="45" t="n"/>
      <c r="C83" s="45" t="n"/>
      <c r="D83" s="45" t="n"/>
      <c r="E83" s="45" t="n"/>
      <c r="F83" s="45" t="n"/>
      <c r="G83" s="45" t="n"/>
      <c r="H83" s="86" t="n"/>
      <c r="I83" s="86" t="n"/>
      <c r="J83" s="86">
        <f>J76+J82</f>
        <v/>
      </c>
      <c r="K83" s="86">
        <f>K76+K82</f>
        <v/>
      </c>
      <c r="L83" s="86">
        <f>L76+L82</f>
        <v/>
      </c>
      <c r="M83" s="45" t="n"/>
    </row>
    <row r="84" ht="34" customHeight="1">
      <c r="A84" s="45" t="inlineStr">
        <is>
          <t>TOTAL BIAYA (I + II)</t>
        </is>
      </c>
      <c r="B84" s="45" t="n"/>
      <c r="C84" s="45" t="n"/>
      <c r="D84" s="45" t="n"/>
      <c r="E84" s="45" t="n"/>
      <c r="F84" s="45" t="n"/>
      <c r="G84" s="45" t="n"/>
      <c r="H84" s="86" t="n"/>
      <c r="I84" s="86" t="n"/>
      <c r="J84" s="86">
        <f>J68+J83</f>
        <v/>
      </c>
      <c r="K84" s="86">
        <f>K68+K83</f>
        <v/>
      </c>
      <c r="L84" s="86">
        <f>L68+L83</f>
        <v/>
      </c>
      <c r="M84" s="45" t="n"/>
    </row>
  </sheetData>
  <mergeCells count="14">
    <mergeCell ref="A1:J1"/>
    <mergeCell ref="E7:M7"/>
    <mergeCell ref="A4:C4"/>
    <mergeCell ref="A5:C5"/>
    <mergeCell ref="E5:M5"/>
    <mergeCell ref="A8:C8"/>
    <mergeCell ref="A6:C6"/>
    <mergeCell ref="A3:C3"/>
    <mergeCell ref="E8:M8"/>
    <mergeCell ref="E3:M3"/>
    <mergeCell ref="A7:C7"/>
    <mergeCell ref="E4:M4"/>
    <mergeCell ref="E6:M6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RINCIAN USULAN RAB – TAHUN III TIDAK DIUSULKAN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67" t="inlineStr">
        <is>
          <t>Kegiatan diusulkan selama dua tahun. Nilai Tahun III adalah Rp0.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M4" s="1" t="n"/>
    </row>
    <row r="5">
      <c r="A5" s="1" t="n"/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</sheetData>
  <mergeCells count="2">
    <mergeCell ref="A3:M6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8" customWidth="1" min="3" max="3"/>
    <col width="12" customWidth="1" min="4" max="4"/>
    <col width="18" customWidth="1" min="5" max="5"/>
    <col width="12" customWidth="1" min="6" max="6"/>
    <col width="20" customWidth="1" min="7" max="7"/>
    <col width="58" customWidth="1" min="8" max="8"/>
  </cols>
  <sheetData>
    <row r="1">
      <c r="A1" s="46" t="inlineStr">
        <is>
          <t>REKAP USULAN RAB RIIM KOMPETISI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47" t="inlineStr">
        <is>
          <t>Judul</t>
        </is>
      </c>
      <c r="B3" s="1" t="n"/>
      <c r="C3" s="13" t="inlineStr">
        <is>
          <t>Pengembangan Smart Charging Hub Solar Hybrid PV–BESS–Grid Berbasis AI dan IoT-Edge dengan EMS Adaptif, Mode Islanding, dan Layanan Digital</t>
        </is>
      </c>
      <c r="D3" s="1" t="n"/>
      <c r="E3" s="1" t="n"/>
      <c r="F3" s="1" t="n"/>
      <c r="G3" s="1" t="n"/>
      <c r="H3" s="1" t="n"/>
    </row>
    <row r="4">
      <c r="A4" s="47" t="inlineStr">
        <is>
          <t>Ketua</t>
        </is>
      </c>
      <c r="B4" s="1" t="n"/>
      <c r="C4" s="13" t="inlineStr">
        <is>
          <t>Prof. Dr. Subiyanto, S.T., M.T.</t>
        </is>
      </c>
      <c r="D4" s="1" t="n"/>
      <c r="E4" s="1" t="n"/>
      <c r="F4" s="1" t="n"/>
      <c r="G4" s="1" t="n"/>
      <c r="H4" s="1" t="n"/>
    </row>
    <row r="5">
      <c r="A5" s="47" t="inlineStr">
        <is>
          <t>Institusi</t>
        </is>
      </c>
      <c r="B5" s="1" t="n"/>
      <c r="C5" s="13" t="inlineStr">
        <is>
          <t>Universitas Negeri Semarang</t>
        </is>
      </c>
      <c r="D5" s="1" t="n"/>
      <c r="E5" s="1" t="n"/>
      <c r="F5" s="1" t="n"/>
      <c r="G5" s="1" t="n"/>
      <c r="H5" s="1" t="n"/>
    </row>
    <row r="6">
      <c r="A6" s="47" t="inlineStr">
        <is>
          <t>Mitra</t>
        </is>
      </c>
      <c r="B6" s="1" t="n"/>
      <c r="C6" s="13" t="inlineStr">
        <is>
          <t>PT. Arunika Sains Teknologi</t>
        </is>
      </c>
      <c r="D6" s="1" t="n"/>
      <c r="E6" s="1" t="n"/>
      <c r="F6" s="1" t="n"/>
      <c r="G6" s="1" t="n"/>
      <c r="H6" s="1" t="n"/>
    </row>
    <row r="7">
      <c r="A7" s="47" t="inlineStr">
        <is>
          <t>Tim</t>
        </is>
      </c>
      <c r="B7" s="1" t="n"/>
      <c r="C7" s="13" t="inlineStr">
        <is>
          <t>1 ketua + 4 anggota; honorarium 4 bulan per tahun</t>
        </is>
      </c>
      <c r="D7" s="1" t="n"/>
      <c r="E7" s="1" t="n"/>
      <c r="F7" s="1" t="n"/>
      <c r="G7" s="1" t="n"/>
      <c r="H7" s="1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8" t="inlineStr">
        <is>
          <t>No.</t>
        </is>
      </c>
      <c r="B10" s="18" t="inlineStr">
        <is>
          <t>Komponen</t>
        </is>
      </c>
      <c r="C10" s="18" t="inlineStr">
        <is>
          <t>Tahun I</t>
        </is>
      </c>
      <c r="D10" s="18" t="inlineStr">
        <is>
          <t>%</t>
        </is>
      </c>
      <c r="E10" s="18" t="inlineStr">
        <is>
          <t>Tahun II</t>
        </is>
      </c>
      <c r="F10" s="18" t="inlineStr">
        <is>
          <t>%</t>
        </is>
      </c>
      <c r="G10" s="18" t="inlineStr">
        <is>
          <t>Total 2 Tahun</t>
        </is>
      </c>
      <c r="H10" s="18" t="inlineStr">
        <is>
          <t>Catatan</t>
        </is>
      </c>
    </row>
    <row r="11">
      <c r="A11" s="12" t="n">
        <v>1</v>
      </c>
      <c r="B11" s="12" t="inlineStr">
        <is>
          <t>Biaya Langsung Personil</t>
        </is>
      </c>
      <c r="C11" s="84">
        <f>'Rincian (th1)'!J18</f>
        <v/>
      </c>
      <c r="D11" s="87">
        <f>C11/C$14</f>
        <v/>
      </c>
      <c r="E11" s="84">
        <f>'Rincian (th2)'!J18</f>
        <v/>
      </c>
      <c r="F11" s="87">
        <f>E11/E$14</f>
        <v/>
      </c>
      <c r="G11" s="84">
        <f>C11+E11</f>
        <v/>
      </c>
      <c r="H11" s="12" t="inlineStr">
        <is>
          <t>Honor penuh 4 bulan untuk 1 ketua + 4 anggota</t>
        </is>
      </c>
    </row>
    <row r="12">
      <c r="A12" s="12" t="n">
        <v>2</v>
      </c>
      <c r="B12" s="12" t="inlineStr">
        <is>
          <t>Biaya Langsung Nonpersonil</t>
        </is>
      </c>
      <c r="C12" s="84">
        <f>'Rincian (th1)'!J67</f>
        <v/>
      </c>
      <c r="D12" s="87">
        <f>C12/C$14</f>
        <v/>
      </c>
      <c r="E12" s="84">
        <f>'Rincian (th2)'!J67</f>
        <v/>
      </c>
      <c r="F12" s="87">
        <f>E12/E$14</f>
        <v/>
      </c>
      <c r="G12" s="84">
        <f>C12+E12</f>
        <v/>
      </c>
      <c r="H12" s="12" t="inlineStr">
        <is>
          <t>Barang fisik diperinci; belanja modal tetap ≤10% per tahun</t>
        </is>
      </c>
    </row>
    <row r="13">
      <c r="A13" s="12" t="n">
        <v>3</v>
      </c>
      <c r="B13" s="12" t="inlineStr">
        <is>
          <t>Biaya Tidak Langsung</t>
        </is>
      </c>
      <c r="C13" s="84">
        <f>'Rincian (th1)'!J83</f>
        <v/>
      </c>
      <c r="D13" s="87">
        <f>C13/C$14</f>
        <v/>
      </c>
      <c r="E13" s="84">
        <f>'Rincian (th2)'!J83</f>
        <v/>
      </c>
      <c r="F13" s="87">
        <f>E13/E$14</f>
        <v/>
      </c>
      <c r="G13" s="84">
        <f>C13+E13</f>
        <v/>
      </c>
      <c r="H13" s="12" t="inlineStr">
        <is>
          <t>Khusus monitoring dan evaluasi internal</t>
        </is>
      </c>
    </row>
    <row r="14">
      <c r="A14" s="45" t="n"/>
      <c r="B14" s="45" t="inlineStr">
        <is>
          <t>TOTAL</t>
        </is>
      </c>
      <c r="C14" s="86">
        <f>'Rincian (th1)'!J84</f>
        <v/>
      </c>
      <c r="D14" s="88" t="n">
        <v>1</v>
      </c>
      <c r="E14" s="86">
        <f>'Rincian (th2)'!J84</f>
        <v/>
      </c>
      <c r="F14" s="88" t="n">
        <v>1</v>
      </c>
      <c r="G14" s="86">
        <f>C14+E14</f>
        <v/>
      </c>
      <c r="H14" s="45" t="str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</sheetData>
  <mergeCells count="11">
    <mergeCell ref="A4:B4"/>
    <mergeCell ref="C6:H6"/>
    <mergeCell ref="A7:B7"/>
    <mergeCell ref="C5:H5"/>
    <mergeCell ref="C3:H3"/>
    <mergeCell ref="A5:B5"/>
    <mergeCell ref="C4:H4"/>
    <mergeCell ref="A1:H1"/>
    <mergeCell ref="A6:B6"/>
    <mergeCell ref="A3:B3"/>
    <mergeCell ref="C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39" customWidth="1" min="4" max="4"/>
    <col width="9" customWidth="1" min="5" max="5"/>
    <col width="12" customWidth="1" min="6" max="6"/>
    <col width="17" customWidth="1" min="7" max="7"/>
    <col width="18" customWidth="1" min="8" max="8"/>
    <col width="48" customWidth="1" min="9" max="9"/>
    <col width="45" customWidth="1" min="10" max="10"/>
  </cols>
  <sheetData>
    <row r="1">
      <c r="A1" s="9" t="inlineStr">
        <is>
          <t>DAFTAR BARANG DAN KOMPONEN FISIK YANG DIBELI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8" t="inlineStr">
        <is>
          <t>No.</t>
        </is>
      </c>
      <c r="B3" s="18" t="inlineStr">
        <is>
          <t>Tahun</t>
        </is>
      </c>
      <c r="C3" s="18" t="inlineStr">
        <is>
          <t>Klasifikasi</t>
        </is>
      </c>
      <c r="D3" s="18" t="inlineStr">
        <is>
          <t>Barang/Komponen</t>
        </is>
      </c>
      <c r="E3" s="18" t="inlineStr">
        <is>
          <t>Qty</t>
        </is>
      </c>
      <c r="F3" s="18" t="inlineStr">
        <is>
          <t>Satuan</t>
        </is>
      </c>
      <c r="G3" s="18" t="inlineStr">
        <is>
          <t>Harga Satuan</t>
        </is>
      </c>
      <c r="H3" s="18" t="inlineStr">
        <is>
          <t>Total</t>
        </is>
      </c>
      <c r="I3" s="18" t="inlineStr">
        <is>
          <t>Penggunaan</t>
        </is>
      </c>
      <c r="J3" s="18" t="inlineStr">
        <is>
          <t>Pencatatan</t>
        </is>
      </c>
    </row>
    <row r="4">
      <c r="A4" s="12" t="n">
        <v>1</v>
      </c>
      <c r="B4" s="12" t="inlineStr">
        <is>
          <t>Tahun I</t>
        </is>
      </c>
      <c r="C4" s="12" t="inlineStr">
        <is>
          <t>Belanja modal</t>
        </is>
      </c>
      <c r="D4" s="12" t="inlineStr">
        <is>
          <t>Industrial IoT gateway</t>
        </is>
      </c>
      <c r="E4" s="12" t="n">
        <v>2</v>
      </c>
      <c r="F4" s="12" t="inlineStr">
        <is>
          <t>unit</t>
        </is>
      </c>
      <c r="G4" s="84" t="n">
        <v>2000000</v>
      </c>
      <c r="H4" s="84" t="n">
        <v>4000000</v>
      </c>
      <c r="I4" s="12" t="inlineStr">
        <is>
          <t>Akuisisi OCPP/Modbus/MQTT, buffering dan watchdog</t>
        </is>
      </c>
      <c r="J4" s="12" t="inlineStr">
        <is>
          <t>Dicatat sebagai aset institusi</t>
        </is>
      </c>
    </row>
    <row r="5">
      <c r="A5" s="12" t="n">
        <v>2</v>
      </c>
      <c r="B5" s="12" t="inlineStr">
        <is>
          <t>Tahun I</t>
        </is>
      </c>
      <c r="C5" s="12" t="inlineStr">
        <is>
          <t>Belanja modal</t>
        </is>
      </c>
      <c r="D5" s="12" t="inlineStr">
        <is>
          <t>Embedded edge controller</t>
        </is>
      </c>
      <c r="E5" s="12" t="n">
        <v>2</v>
      </c>
      <c r="F5" s="12" t="inlineStr">
        <is>
          <t>unit</t>
        </is>
      </c>
      <c r="G5" s="84" t="n">
        <v>2500000</v>
      </c>
      <c r="H5" s="84" t="n">
        <v>5000000</v>
      </c>
      <c r="I5" s="12" t="inlineStr">
        <is>
          <t>Eksekusi lokal EMS, data-quality checking dan fallback</t>
        </is>
      </c>
      <c r="J5" s="12" t="inlineStr">
        <is>
          <t>Dicatat sebagai aset institusi</t>
        </is>
      </c>
    </row>
    <row r="6">
      <c r="A6" s="12" t="n">
        <v>3</v>
      </c>
      <c r="B6" s="12" t="inlineStr">
        <is>
          <t>Tahun I</t>
        </is>
      </c>
      <c r="C6" s="12" t="inlineStr">
        <is>
          <t>Belanja modal</t>
        </is>
      </c>
      <c r="D6" s="12" t="inlineStr">
        <is>
          <t>Energy meter tiga fasa</t>
        </is>
      </c>
      <c r="E6" s="12" t="n">
        <v>2</v>
      </c>
      <c r="F6" s="12" t="inlineStr">
        <is>
          <t>unit</t>
        </is>
      </c>
      <c r="G6" s="84" t="n">
        <v>2000000</v>
      </c>
      <c r="H6" s="84" t="n">
        <v>4000000</v>
      </c>
      <c r="I6" s="12" t="inlineStr">
        <is>
          <t>Metering independen daya grid dan charger</t>
        </is>
      </c>
      <c r="J6" s="12" t="inlineStr">
        <is>
          <t>Dicatat sebagai aset institusi</t>
        </is>
      </c>
    </row>
    <row r="7">
      <c r="A7" s="12" t="n">
        <v>4</v>
      </c>
      <c r="B7" s="12" t="inlineStr">
        <is>
          <t>Tahun I</t>
        </is>
      </c>
      <c r="C7" s="12" t="inlineStr">
        <is>
          <t>Belanja modal</t>
        </is>
      </c>
      <c r="D7" s="12" t="inlineStr">
        <is>
          <t>DC energy meter</t>
        </is>
      </c>
      <c r="E7" s="12" t="n">
        <v>2</v>
      </c>
      <c r="F7" s="12" t="inlineStr">
        <is>
          <t>unit</t>
        </is>
      </c>
      <c r="G7" s="84" t="n">
        <v>1500000</v>
      </c>
      <c r="H7" s="84" t="n">
        <v>3000000</v>
      </c>
      <c r="I7" s="12" t="inlineStr">
        <is>
          <t>Pengukuran aliran daya sisi DC PV/BESS</t>
        </is>
      </c>
      <c r="J7" s="12" t="inlineStr">
        <is>
          <t>Dicatat sebagai aset institusi</t>
        </is>
      </c>
    </row>
    <row r="8">
      <c r="A8" s="12" t="n">
        <v>5</v>
      </c>
      <c r="B8" s="12" t="inlineStr">
        <is>
          <t>Tahun I</t>
        </is>
      </c>
      <c r="C8" s="12" t="inlineStr">
        <is>
          <t>Belanja modal</t>
        </is>
      </c>
      <c r="D8" s="12" t="inlineStr">
        <is>
          <t>Managed industrial Ethernet switch</t>
        </is>
      </c>
      <c r="E8" s="12" t="n">
        <v>1</v>
      </c>
      <c r="F8" s="12" t="inlineStr">
        <is>
          <t>unit</t>
        </is>
      </c>
      <c r="G8" s="84" t="n">
        <v>2500000</v>
      </c>
      <c r="H8" s="84" t="n">
        <v>2500000</v>
      </c>
      <c r="I8" s="12" t="inlineStr">
        <is>
          <t>Segmentasi jaringan perangkat OT/IoT</t>
        </is>
      </c>
      <c r="J8" s="12" t="inlineStr">
        <is>
          <t>Dicatat sebagai aset institusi</t>
        </is>
      </c>
    </row>
    <row r="9">
      <c r="A9" s="12" t="n">
        <v>6</v>
      </c>
      <c r="B9" s="12" t="inlineStr">
        <is>
          <t>Tahun I</t>
        </is>
      </c>
      <c r="C9" s="12" t="inlineStr">
        <is>
          <t>Belanja modal</t>
        </is>
      </c>
      <c r="D9" s="12" t="inlineStr">
        <is>
          <t>Industrial 4G router</t>
        </is>
      </c>
      <c r="E9" s="12" t="n">
        <v>1</v>
      </c>
      <c r="F9" s="12" t="inlineStr">
        <is>
          <t>unit</t>
        </is>
      </c>
      <c r="G9" s="84" t="n">
        <v>2000000</v>
      </c>
      <c r="H9" s="84" t="n">
        <v>2000000</v>
      </c>
      <c r="I9" s="12" t="inlineStr">
        <is>
          <t>Konektivitas dan redundansi komunikasi</t>
        </is>
      </c>
      <c r="J9" s="12" t="inlineStr">
        <is>
          <t>Dicatat sebagai aset institusi</t>
        </is>
      </c>
    </row>
    <row r="10">
      <c r="A10" s="12" t="n">
        <v>7</v>
      </c>
      <c r="B10" s="12" t="inlineStr">
        <is>
          <t>Tahun I</t>
        </is>
      </c>
      <c r="C10" s="12" t="inlineStr">
        <is>
          <t>Belanja modal</t>
        </is>
      </c>
      <c r="D10" s="12" t="inlineStr">
        <is>
          <t>NAS/edge storage</t>
        </is>
      </c>
      <c r="E10" s="12" t="n">
        <v>1</v>
      </c>
      <c r="F10" s="12" t="inlineStr">
        <is>
          <t>unit</t>
        </is>
      </c>
      <c r="G10" s="84" t="n">
        <v>3000000</v>
      </c>
      <c r="H10" s="84" t="n">
        <v>3000000</v>
      </c>
      <c r="I10" s="12" t="inlineStr">
        <is>
          <t>Penyimpanan telemetri lokal dan backup</t>
        </is>
      </c>
      <c r="J10" s="12" t="inlineStr">
        <is>
          <t>Dicatat sebagai aset institusi</t>
        </is>
      </c>
    </row>
    <row r="11">
      <c r="A11" s="12" t="n">
        <v>8</v>
      </c>
      <c r="B11" s="12" t="inlineStr">
        <is>
          <t>Tahun I</t>
        </is>
      </c>
      <c r="C11" s="12" t="inlineStr">
        <is>
          <t>Belanja modal</t>
        </is>
      </c>
      <c r="D11" s="12" t="inlineStr">
        <is>
          <t>Portable irradiance-temperature reference meter</t>
        </is>
      </c>
      <c r="E11" s="12" t="n">
        <v>1</v>
      </c>
      <c r="F11" s="12" t="inlineStr">
        <is>
          <t>unit</t>
        </is>
      </c>
      <c r="G11" s="84" t="n">
        <v>1500000</v>
      </c>
      <c r="H11" s="84" t="n">
        <v>1500000</v>
      </c>
      <c r="I11" s="12" t="inlineStr">
        <is>
          <t>Referensi pengukuran sensor PV dan kalibrasi lapangan</t>
        </is>
      </c>
      <c r="J11" s="12" t="inlineStr">
        <is>
          <t>Dicatat sebagai aset institusi</t>
        </is>
      </c>
    </row>
    <row r="12">
      <c r="A12" s="12" t="n">
        <v>9</v>
      </c>
      <c r="B12" s="12" t="inlineStr">
        <is>
          <t>Tahun I</t>
        </is>
      </c>
      <c r="C12" s="12" t="inlineStr">
        <is>
          <t>Bahan/komponen purwarupa</t>
        </is>
      </c>
      <c r="D12" s="12" t="inlineStr">
        <is>
          <t>Set smart socket controller</t>
        </is>
      </c>
      <c r="E12" s="12" t="n">
        <v>8</v>
      </c>
      <c r="F12" s="12" t="inlineStr">
        <is>
          <t>set</t>
        </is>
      </c>
      <c r="G12" s="84" t="n">
        <v>600000</v>
      </c>
      <c r="H12" s="84" t="n">
        <v>4800000</v>
      </c>
      <c r="I12" s="12" t="inlineStr">
        <is>
          <t>ESP32/MCU, relay, CT dan konektor untuk 8 titik mikromobilitas</t>
        </is>
      </c>
      <c r="J12" s="12" t="inlineStr">
        <is>
          <t>Terintegrasi/terpakai dalam purwarupa; sesuai kebijakan institusi</t>
        </is>
      </c>
    </row>
    <row r="13">
      <c r="A13" s="12" t="n">
        <v>10</v>
      </c>
      <c r="B13" s="12" t="inlineStr">
        <is>
          <t>Tahun I</t>
        </is>
      </c>
      <c r="C13" s="12" t="inlineStr">
        <is>
          <t>Bahan/komponen purwarupa</t>
        </is>
      </c>
      <c r="D13" s="12" t="inlineStr">
        <is>
          <t>Current transformer sensor</t>
        </is>
      </c>
      <c r="E13" s="12" t="n">
        <v>12</v>
      </c>
      <c r="F13" s="12" t="inlineStr">
        <is>
          <t>unit</t>
        </is>
      </c>
      <c r="G13" s="84" t="n">
        <v>200000</v>
      </c>
      <c r="H13" s="84" t="n">
        <v>2400000</v>
      </c>
      <c r="I13" s="12" t="inlineStr">
        <is>
          <t>Akuisisi arus pada charger, display dan auxiliary load</t>
        </is>
      </c>
      <c r="J13" s="12" t="inlineStr">
        <is>
          <t>Terintegrasi/terpakai dalam purwarupa; sesuai kebijakan institusi</t>
        </is>
      </c>
    </row>
    <row r="14">
      <c r="A14" s="12" t="n">
        <v>11</v>
      </c>
      <c r="B14" s="12" t="inlineStr">
        <is>
          <t>Tahun I</t>
        </is>
      </c>
      <c r="C14" s="12" t="inlineStr">
        <is>
          <t>Bahan/komponen purwarupa</t>
        </is>
      </c>
      <c r="D14" s="12" t="inlineStr">
        <is>
          <t>Voltage transducer terisolasi</t>
        </is>
      </c>
      <c r="E14" s="12" t="n">
        <v>6</v>
      </c>
      <c r="F14" s="12" t="inlineStr">
        <is>
          <t>unit</t>
        </is>
      </c>
      <c r="G14" s="84" t="n">
        <v>250000</v>
      </c>
      <c r="H14" s="84" t="n">
        <v>1500000</v>
      </c>
      <c r="I14" s="12" t="inlineStr">
        <is>
          <t>Pengukuran tegangan AC/DC dengan isolasi</t>
        </is>
      </c>
      <c r="J14" s="12" t="inlineStr">
        <is>
          <t>Terintegrasi/terpakai dalam purwarupa; sesuai kebijakan institusi</t>
        </is>
      </c>
    </row>
    <row r="15">
      <c r="A15" s="12" t="n">
        <v>12</v>
      </c>
      <c r="B15" s="12" t="inlineStr">
        <is>
          <t>Tahun I</t>
        </is>
      </c>
      <c r="C15" s="12" t="inlineStr">
        <is>
          <t>Bahan/komponen purwarupa</t>
        </is>
      </c>
      <c r="D15" s="12" t="inlineStr">
        <is>
          <t>Sensor temperatur multipoint</t>
        </is>
      </c>
      <c r="E15" s="12" t="n">
        <v>12</v>
      </c>
      <c r="F15" s="12" t="inlineStr">
        <is>
          <t>unit</t>
        </is>
      </c>
      <c r="G15" s="84" t="n">
        <v>100000</v>
      </c>
      <c r="H15" s="84" t="n">
        <v>1200000</v>
      </c>
      <c r="I15" s="12" t="inlineStr">
        <is>
          <t>Monitoring temperatur panel, charger dan enclosure</t>
        </is>
      </c>
      <c r="J15" s="12" t="inlineStr">
        <is>
          <t>Terintegrasi/terpakai dalam purwarupa; sesuai kebijakan institusi</t>
        </is>
      </c>
    </row>
    <row r="16">
      <c r="A16" s="12" t="n">
        <v>13</v>
      </c>
      <c r="B16" s="12" t="inlineStr">
        <is>
          <t>Tahun I</t>
        </is>
      </c>
      <c r="C16" s="12" t="inlineStr">
        <is>
          <t>Bahan/komponen purwarupa</t>
        </is>
      </c>
      <c r="D16" s="12" t="inlineStr">
        <is>
          <t>RS485–Ethernet converter</t>
        </is>
      </c>
      <c r="E16" s="12" t="n">
        <v>5</v>
      </c>
      <c r="F16" s="12" t="inlineStr">
        <is>
          <t>unit</t>
        </is>
      </c>
      <c r="G16" s="84" t="n">
        <v>400000</v>
      </c>
      <c r="H16" s="84" t="n">
        <v>2000000</v>
      </c>
      <c r="I16" s="12" t="inlineStr">
        <is>
          <t>Integrasi meter dan inverter ke gateway</t>
        </is>
      </c>
      <c r="J16" s="12" t="inlineStr">
        <is>
          <t>Terintegrasi/terpakai dalam purwarupa; sesuai kebijakan institusi</t>
        </is>
      </c>
    </row>
    <row r="17">
      <c r="A17" s="12" t="n">
        <v>14</v>
      </c>
      <c r="B17" s="12" t="inlineStr">
        <is>
          <t>Tahun I</t>
        </is>
      </c>
      <c r="C17" s="12" t="inlineStr">
        <is>
          <t>Bahan/komponen purwarupa</t>
        </is>
      </c>
      <c r="D17" s="12" t="inlineStr">
        <is>
          <t>CAN–RS485/CAN–Ethernet converter</t>
        </is>
      </c>
      <c r="E17" s="12" t="n">
        <v>2</v>
      </c>
      <c r="F17" s="12" t="inlineStr">
        <is>
          <t>unit</t>
        </is>
      </c>
      <c r="G17" s="84" t="n">
        <v>750000</v>
      </c>
      <c r="H17" s="84" t="n">
        <v>1500000</v>
      </c>
      <c r="I17" s="12" t="inlineStr">
        <is>
          <t>Antarmuka BMS dan controller</t>
        </is>
      </c>
      <c r="J17" s="12" t="inlineStr">
        <is>
          <t>Terintegrasi/terpakai dalam purwarupa; sesuai kebijakan institusi</t>
        </is>
      </c>
    </row>
    <row r="18">
      <c r="A18" s="12" t="n">
        <v>15</v>
      </c>
      <c r="B18" s="12" t="inlineStr">
        <is>
          <t>Tahun I</t>
        </is>
      </c>
      <c r="C18" s="12" t="inlineStr">
        <is>
          <t>Bahan/komponen purwarupa</t>
        </is>
      </c>
      <c r="D18" s="12" t="inlineStr">
        <is>
          <t>Contactor dan solid-state relay</t>
        </is>
      </c>
      <c r="E18" s="12" t="n">
        <v>8</v>
      </c>
      <c r="F18" s="12" t="inlineStr">
        <is>
          <t>set</t>
        </is>
      </c>
      <c r="G18" s="84" t="n">
        <v>500000</v>
      </c>
      <c r="H18" s="84" t="n">
        <v>4000000</v>
      </c>
      <c r="I18" s="12" t="inlineStr">
        <is>
          <t>Switching beban dan load prioritization</t>
        </is>
      </c>
      <c r="J18" s="12" t="inlineStr">
        <is>
          <t>Terintegrasi/terpakai dalam purwarupa; sesuai kebijakan institusi</t>
        </is>
      </c>
    </row>
    <row r="19">
      <c r="A19" s="12" t="n">
        <v>16</v>
      </c>
      <c r="B19" s="12" t="inlineStr">
        <is>
          <t>Tahun I</t>
        </is>
      </c>
      <c r="C19" s="12" t="inlineStr">
        <is>
          <t>Bahan/komponen purwarupa</t>
        </is>
      </c>
      <c r="D19" s="12" t="inlineStr">
        <is>
          <t>Paket MCB/MCCB/SPD/fuse</t>
        </is>
      </c>
      <c r="E19" s="12" t="n">
        <v>1</v>
      </c>
      <c r="F19" s="12" t="inlineStr">
        <is>
          <t>paket</t>
        </is>
      </c>
      <c r="G19" s="84" t="n">
        <v>6000000</v>
      </c>
      <c r="H19" s="84" t="n">
        <v>6000000</v>
      </c>
      <c r="I19" s="12" t="inlineStr">
        <is>
          <t>Proteksi arus lebih, hubung singkat dan surge</t>
        </is>
      </c>
      <c r="J19" s="12" t="inlineStr">
        <is>
          <t>Terintegrasi/terpakai dalam purwarupa; sesuai kebijakan institusi</t>
        </is>
      </c>
    </row>
    <row r="20">
      <c r="A20" s="12" t="n">
        <v>17</v>
      </c>
      <c r="B20" s="12" t="inlineStr">
        <is>
          <t>Tahun I</t>
        </is>
      </c>
      <c r="C20" s="12" t="inlineStr">
        <is>
          <t>Bahan/komponen purwarupa</t>
        </is>
      </c>
      <c r="D20" s="12" t="inlineStr">
        <is>
          <t>Emergency-stop module</t>
        </is>
      </c>
      <c r="E20" s="12" t="n">
        <v>5</v>
      </c>
      <c r="F20" s="12" t="inlineStr">
        <is>
          <t>unit</t>
        </is>
      </c>
      <c r="G20" s="84" t="n">
        <v>300000</v>
      </c>
      <c r="H20" s="84" t="n">
        <v>1500000</v>
      </c>
      <c r="I20" s="12" t="inlineStr">
        <is>
          <t>Pemutusan darurat charger dan auxiliary load</t>
        </is>
      </c>
      <c r="J20" s="12" t="inlineStr">
        <is>
          <t>Terintegrasi/terpakai dalam purwarupa; sesuai kebijakan institusi</t>
        </is>
      </c>
    </row>
    <row r="21">
      <c r="A21" s="12" t="n">
        <v>18</v>
      </c>
      <c r="B21" s="12" t="inlineStr">
        <is>
          <t>Tahun I</t>
        </is>
      </c>
      <c r="C21" s="12" t="inlineStr">
        <is>
          <t>Bahan/komponen purwarupa</t>
        </is>
      </c>
      <c r="D21" s="12" t="inlineStr">
        <is>
          <t>Enclosure IP65</t>
        </is>
      </c>
      <c r="E21" s="12" t="n">
        <v>5</v>
      </c>
      <c r="F21" s="12" t="inlineStr">
        <is>
          <t>unit</t>
        </is>
      </c>
      <c r="G21" s="84" t="n">
        <v>600000</v>
      </c>
      <c r="H21" s="84" t="n">
        <v>3000000</v>
      </c>
      <c r="I21" s="12" t="inlineStr">
        <is>
          <t>Pelindung node kontrol dan metering</t>
        </is>
      </c>
      <c r="J21" s="12" t="inlineStr">
        <is>
          <t>Terintegrasi/terpakai dalam purwarupa; sesuai kebijakan institusi</t>
        </is>
      </c>
    </row>
    <row r="22">
      <c r="A22" s="12" t="n">
        <v>19</v>
      </c>
      <c r="B22" s="12" t="inlineStr">
        <is>
          <t>Tahun I</t>
        </is>
      </c>
      <c r="C22" s="12" t="inlineStr">
        <is>
          <t>Bahan/komponen purwarupa</t>
        </is>
      </c>
      <c r="D22" s="12" t="inlineStr">
        <is>
          <t>Terminal, cable gland dan wiring control</t>
        </is>
      </c>
      <c r="E22" s="12" t="n">
        <v>1</v>
      </c>
      <c r="F22" s="12" t="inlineStr">
        <is>
          <t>lot</t>
        </is>
      </c>
      <c r="G22" s="84" t="n">
        <v>4000000</v>
      </c>
      <c r="H22" s="84" t="n">
        <v>4000000</v>
      </c>
      <c r="I22" s="12" t="inlineStr">
        <is>
          <t>Perakitan panel dan koneksi sensor</t>
        </is>
      </c>
      <c r="J22" s="12" t="inlineStr">
        <is>
          <t>Terintegrasi/terpakai dalam purwarupa; sesuai kebijakan institusi</t>
        </is>
      </c>
    </row>
    <row r="23">
      <c r="A23" s="12" t="n">
        <v>20</v>
      </c>
      <c r="B23" s="12" t="inlineStr">
        <is>
          <t>Tahun I</t>
        </is>
      </c>
      <c r="C23" s="12" t="inlineStr">
        <is>
          <t>Bahan/komponen purwarupa</t>
        </is>
      </c>
      <c r="D23" s="12" t="inlineStr">
        <is>
          <t>PCB, protoboard dan komponen elektronik</t>
        </is>
      </c>
      <c r="E23" s="12" t="n">
        <v>1</v>
      </c>
      <c r="F23" s="12" t="inlineStr">
        <is>
          <t>lot</t>
        </is>
      </c>
      <c r="G23" s="84" t="n">
        <v>4000000</v>
      </c>
      <c r="H23" s="84" t="n">
        <v>4000000</v>
      </c>
      <c r="I23" s="12" t="inlineStr">
        <is>
          <t>Iterasi node sensor, interface dan firmware</t>
        </is>
      </c>
      <c r="J23" s="12" t="inlineStr">
        <is>
          <t>Terintegrasi/terpakai dalam purwarupa; sesuai kebijakan institusi</t>
        </is>
      </c>
    </row>
    <row r="24">
      <c r="A24" s="12" t="n">
        <v>21</v>
      </c>
      <c r="B24" s="12" t="inlineStr">
        <is>
          <t>Tahun I</t>
        </is>
      </c>
      <c r="C24" s="12" t="inlineStr">
        <is>
          <t>Bahan/komponen purwarupa</t>
        </is>
      </c>
      <c r="D24" s="12" t="inlineStr">
        <is>
          <t>RFID/NFC reader</t>
        </is>
      </c>
      <c r="E24" s="12" t="n">
        <v>5</v>
      </c>
      <c r="F24" s="12" t="inlineStr">
        <is>
          <t>unit</t>
        </is>
      </c>
      <c r="G24" s="84" t="n">
        <v>300000</v>
      </c>
      <c r="H24" s="84" t="n">
        <v>1500000</v>
      </c>
      <c r="I24" s="12" t="inlineStr">
        <is>
          <t>Autentikasi pengguna dan uji akses charger</t>
        </is>
      </c>
      <c r="J24" s="12" t="inlineStr">
        <is>
          <t>Terintegrasi/terpakai dalam purwarupa; sesuai kebijakan institusi</t>
        </is>
      </c>
    </row>
    <row r="25">
      <c r="A25" s="12" t="n">
        <v>22</v>
      </c>
      <c r="B25" s="12" t="inlineStr">
        <is>
          <t>Tahun I</t>
        </is>
      </c>
      <c r="C25" s="12" t="inlineStr">
        <is>
          <t>Bahan/komponen purwarupa</t>
        </is>
      </c>
      <c r="D25" s="12" t="inlineStr">
        <is>
          <t>Industrial data cable dan connector</t>
        </is>
      </c>
      <c r="E25" s="12" t="n">
        <v>1</v>
      </c>
      <c r="F25" s="12" t="inlineStr">
        <is>
          <t>lot</t>
        </is>
      </c>
      <c r="G25" s="84" t="n">
        <v>2600000</v>
      </c>
      <c r="H25" s="84" t="n">
        <v>2600000</v>
      </c>
      <c r="I25" s="12" t="inlineStr">
        <is>
          <t>Kabel RS485/CAN/Ethernet serta konektor industri</t>
        </is>
      </c>
      <c r="J25" s="12" t="inlineStr">
        <is>
          <t>Terintegrasi/terpakai dalam purwarupa; sesuai kebijakan institusi</t>
        </is>
      </c>
    </row>
    <row r="26">
      <c r="A26" s="12" t="n">
        <v>23</v>
      </c>
      <c r="B26" s="12" t="inlineStr">
        <is>
          <t>Tahun II</t>
        </is>
      </c>
      <c r="C26" s="12" t="inlineStr">
        <is>
          <t>Belanja modal</t>
        </is>
      </c>
      <c r="D26" s="12" t="inlineStr">
        <is>
          <t>External BMS/energy storage controller</t>
        </is>
      </c>
      <c r="E26" s="12" t="n">
        <v>1</v>
      </c>
      <c r="F26" s="12" t="inlineStr">
        <is>
          <t>unit</t>
        </is>
      </c>
      <c r="G26" s="84" t="n">
        <v>3500000</v>
      </c>
      <c r="H26" s="84" t="n">
        <v>3500000</v>
      </c>
      <c r="I26" s="12" t="inlineStr">
        <is>
          <t>Monitoring sel, balancing, proteksi termal dan komunikasi CAN/RS485</t>
        </is>
      </c>
      <c r="J26" s="12" t="inlineStr">
        <is>
          <t>Dicatat sebagai aset institusi</t>
        </is>
      </c>
    </row>
    <row r="27">
      <c r="A27" s="12" t="n">
        <v>24</v>
      </c>
      <c r="B27" s="12" t="inlineStr">
        <is>
          <t>Tahun II</t>
        </is>
      </c>
      <c r="C27" s="12" t="inlineStr">
        <is>
          <t>Belanja modal</t>
        </is>
      </c>
      <c r="D27" s="12" t="inlineStr">
        <is>
          <t>Portable data logger</t>
        </is>
      </c>
      <c r="E27" s="12" t="n">
        <v>1</v>
      </c>
      <c r="F27" s="12" t="inlineStr">
        <is>
          <t>unit</t>
        </is>
      </c>
      <c r="G27" s="84" t="n">
        <v>4000000</v>
      </c>
      <c r="H27" s="84" t="n">
        <v>4000000</v>
      </c>
      <c r="I27" s="12" t="inlineStr">
        <is>
          <t>Akuisisi sinkron data PV–BESS–Grid–charger</t>
        </is>
      </c>
      <c r="J27" s="12" t="inlineStr">
        <is>
          <t>Dicatat sebagai aset institusi</t>
        </is>
      </c>
    </row>
    <row r="28">
      <c r="A28" s="12" t="n">
        <v>25</v>
      </c>
      <c r="B28" s="12" t="inlineStr">
        <is>
          <t>Tahun II</t>
        </is>
      </c>
      <c r="C28" s="12" t="inlineStr">
        <is>
          <t>Belanja modal</t>
        </is>
      </c>
      <c r="D28" s="12" t="inlineStr">
        <is>
          <t>Reference energy meter</t>
        </is>
      </c>
      <c r="E28" s="12" t="n">
        <v>1</v>
      </c>
      <c r="F28" s="12" t="inlineStr">
        <is>
          <t>unit</t>
        </is>
      </c>
      <c r="G28" s="84" t="n">
        <v>5000000</v>
      </c>
      <c r="H28" s="84" t="n">
        <v>5000000</v>
      </c>
      <c r="I28" s="12" t="inlineStr">
        <is>
          <t>Validasi efisiensi dan audit energi lapangan</t>
        </is>
      </c>
      <c r="J28" s="12" t="inlineStr">
        <is>
          <t>Dicatat sebagai aset institusi</t>
        </is>
      </c>
    </row>
    <row r="29">
      <c r="A29" s="12" t="n">
        <v>26</v>
      </c>
      <c r="B29" s="12" t="inlineStr">
        <is>
          <t>Tahun II</t>
        </is>
      </c>
      <c r="C29" s="12" t="inlineStr">
        <is>
          <t>Belanja modal</t>
        </is>
      </c>
      <c r="D29" s="12" t="inlineStr">
        <is>
          <t>Redundant industrial IoT gateway</t>
        </is>
      </c>
      <c r="E29" s="12" t="n">
        <v>1</v>
      </c>
      <c r="F29" s="12" t="inlineStr">
        <is>
          <t>unit</t>
        </is>
      </c>
      <c r="G29" s="84" t="n">
        <v>4000000</v>
      </c>
      <c r="H29" s="84" t="n">
        <v>4000000</v>
      </c>
      <c r="I29" s="12" t="inlineStr">
        <is>
          <t>Failover komunikasi dan store-and-forward</t>
        </is>
      </c>
      <c r="J29" s="12" t="inlineStr">
        <is>
          <t>Dicatat sebagai aset institusi</t>
        </is>
      </c>
    </row>
    <row r="30">
      <c r="A30" s="12" t="n">
        <v>27</v>
      </c>
      <c r="B30" s="12" t="inlineStr">
        <is>
          <t>Tahun II</t>
        </is>
      </c>
      <c r="C30" s="12" t="inlineStr">
        <is>
          <t>Belanja modal</t>
        </is>
      </c>
      <c r="D30" s="12" t="inlineStr">
        <is>
          <t>Insulation monitoring device</t>
        </is>
      </c>
      <c r="E30" s="12" t="n">
        <v>1</v>
      </c>
      <c r="F30" s="12" t="inlineStr">
        <is>
          <t>unit</t>
        </is>
      </c>
      <c r="G30" s="84" t="n">
        <v>4500000</v>
      </c>
      <c r="H30" s="84" t="n">
        <v>4500000</v>
      </c>
      <c r="I30" s="12" t="inlineStr">
        <is>
          <t>Deteksi penurunan isolasi pada sisi DC BESS</t>
        </is>
      </c>
      <c r="J30" s="12" t="inlineStr">
        <is>
          <t>Dicatat sebagai aset institusi</t>
        </is>
      </c>
    </row>
    <row r="31">
      <c r="A31" s="12" t="n">
        <v>28</v>
      </c>
      <c r="B31" s="12" t="inlineStr">
        <is>
          <t>Tahun II</t>
        </is>
      </c>
      <c r="C31" s="12" t="inlineStr">
        <is>
          <t>Belanja modal</t>
        </is>
      </c>
      <c r="D31" s="12" t="inlineStr">
        <is>
          <t>Automatic transfer controller</t>
        </is>
      </c>
      <c r="E31" s="12" t="n">
        <v>1</v>
      </c>
      <c r="F31" s="12" t="inlineStr">
        <is>
          <t>unit</t>
        </is>
      </c>
      <c r="G31" s="84" t="n">
        <v>2500000</v>
      </c>
      <c r="H31" s="84" t="n">
        <v>2500000</v>
      </c>
      <c r="I31" s="12" t="inlineStr">
        <is>
          <t>Kendali perpindahan grid/islanding</t>
        </is>
      </c>
      <c r="J31" s="12" t="inlineStr">
        <is>
          <t>Dicatat sebagai aset institusi</t>
        </is>
      </c>
    </row>
    <row r="32">
      <c r="A32" s="12" t="n">
        <v>29</v>
      </c>
      <c r="B32" s="12" t="inlineStr">
        <is>
          <t>Tahun II</t>
        </is>
      </c>
      <c r="C32" s="12" t="inlineStr">
        <is>
          <t>Belanja modal</t>
        </is>
      </c>
      <c r="D32" s="12" t="inlineStr">
        <is>
          <t>Grid/islanding protection relay</t>
        </is>
      </c>
      <c r="E32" s="12" t="n">
        <v>1</v>
      </c>
      <c r="F32" s="12" t="inlineStr">
        <is>
          <t>unit</t>
        </is>
      </c>
      <c r="G32" s="84" t="n">
        <v>1500000</v>
      </c>
      <c r="H32" s="84" t="n">
        <v>1500000</v>
      </c>
      <c r="I32" s="12" t="inlineStr">
        <is>
          <t>Proteksi tegangan/frekuensi dan anti-islanding</t>
        </is>
      </c>
      <c r="J32" s="12" t="inlineStr">
        <is>
          <t>Dicatat sebagai aset institusi</t>
        </is>
      </c>
    </row>
    <row r="33">
      <c r="A33" s="12" t="n">
        <v>30</v>
      </c>
      <c r="B33" s="12" t="inlineStr">
        <is>
          <t>Tahun II</t>
        </is>
      </c>
      <c r="C33" s="12" t="inlineStr">
        <is>
          <t>Bahan/komponen purwarupa</t>
        </is>
      </c>
      <c r="D33" s="12" t="inlineStr">
        <is>
          <t>DC contactor BESS</t>
        </is>
      </c>
      <c r="E33" s="12" t="n">
        <v>4</v>
      </c>
      <c r="F33" s="12" t="inlineStr">
        <is>
          <t>unit</t>
        </is>
      </c>
      <c r="G33" s="84" t="n">
        <v>800000</v>
      </c>
      <c r="H33" s="84" t="n">
        <v>3200000</v>
      </c>
      <c r="I33" s="12" t="inlineStr">
        <is>
          <t>Switching charge/discharge dan isolasi baterai</t>
        </is>
      </c>
      <c r="J33" s="12" t="inlineStr">
        <is>
          <t>Terintegrasi/terpakai dalam purwarupa; sesuai kebijakan institusi</t>
        </is>
      </c>
    </row>
    <row r="34">
      <c r="A34" s="12" t="n">
        <v>31</v>
      </c>
      <c r="B34" s="12" t="inlineStr">
        <is>
          <t>Tahun II</t>
        </is>
      </c>
      <c r="C34" s="12" t="inlineStr">
        <is>
          <t>Bahan/komponen purwarupa</t>
        </is>
      </c>
      <c r="D34" s="12" t="inlineStr">
        <is>
          <t>Pre-charge circuit</t>
        </is>
      </c>
      <c r="E34" s="12" t="n">
        <v>4</v>
      </c>
      <c r="F34" s="12" t="inlineStr">
        <is>
          <t>set</t>
        </is>
      </c>
      <c r="G34" s="84" t="n">
        <v>500000</v>
      </c>
      <c r="H34" s="84" t="n">
        <v>2000000</v>
      </c>
      <c r="I34" s="12" t="inlineStr">
        <is>
          <t>Pembatas arus inrush DC-link</t>
        </is>
      </c>
      <c r="J34" s="12" t="inlineStr">
        <is>
          <t>Terintegrasi/terpakai dalam purwarupa; sesuai kebijakan institusi</t>
        </is>
      </c>
    </row>
    <row r="35">
      <c r="A35" s="12" t="n">
        <v>32</v>
      </c>
      <c r="B35" s="12" t="inlineStr">
        <is>
          <t>Tahun II</t>
        </is>
      </c>
      <c r="C35" s="12" t="inlineStr">
        <is>
          <t>Bahan/komponen purwarupa</t>
        </is>
      </c>
      <c r="D35" s="12" t="inlineStr">
        <is>
          <t>DC fuse dan fuse holder</t>
        </is>
      </c>
      <c r="E35" s="12" t="n">
        <v>6</v>
      </c>
      <c r="F35" s="12" t="inlineStr">
        <is>
          <t>set</t>
        </is>
      </c>
      <c r="G35" s="84" t="n">
        <v>300000</v>
      </c>
      <c r="H35" s="84" t="n">
        <v>1800000</v>
      </c>
      <c r="I35" s="12" t="inlineStr">
        <is>
          <t>Proteksi arus lebih string/rack baterai</t>
        </is>
      </c>
      <c r="J35" s="12" t="inlineStr">
        <is>
          <t>Terintegrasi/terpakai dalam purwarupa; sesuai kebijakan institusi</t>
        </is>
      </c>
    </row>
    <row r="36">
      <c r="A36" s="12" t="n">
        <v>33</v>
      </c>
      <c r="B36" s="12" t="inlineStr">
        <is>
          <t>Tahun II</t>
        </is>
      </c>
      <c r="C36" s="12" t="inlineStr">
        <is>
          <t>Bahan/komponen purwarupa</t>
        </is>
      </c>
      <c r="D36" s="12" t="inlineStr">
        <is>
          <t>DC breaker</t>
        </is>
      </c>
      <c r="E36" s="12" t="n">
        <v>2</v>
      </c>
      <c r="F36" s="12" t="inlineStr">
        <is>
          <t>unit</t>
        </is>
      </c>
      <c r="G36" s="84" t="n">
        <v>1200000</v>
      </c>
      <c r="H36" s="84" t="n">
        <v>2400000</v>
      </c>
      <c r="I36" s="12" t="inlineStr">
        <is>
          <t>Isolasi dan proteksi rangkaian BESS</t>
        </is>
      </c>
      <c r="J36" s="12" t="inlineStr">
        <is>
          <t>Terintegrasi/terpakai dalam purwarupa; sesuai kebijakan institusi</t>
        </is>
      </c>
    </row>
    <row r="37">
      <c r="A37" s="12" t="n">
        <v>34</v>
      </c>
      <c r="B37" s="12" t="inlineStr">
        <is>
          <t>Tahun II</t>
        </is>
      </c>
      <c r="C37" s="12" t="inlineStr">
        <is>
          <t>Bahan/komponen purwarupa</t>
        </is>
      </c>
      <c r="D37" s="12" t="inlineStr">
        <is>
          <t>Battery cable harness dan connector</t>
        </is>
      </c>
      <c r="E37" s="12" t="n">
        <v>1</v>
      </c>
      <c r="F37" s="12" t="inlineStr">
        <is>
          <t>lot</t>
        </is>
      </c>
      <c r="G37" s="84" t="n">
        <v>4000000</v>
      </c>
      <c r="H37" s="84" t="n">
        <v>4000000</v>
      </c>
      <c r="I37" s="12" t="inlineStr">
        <is>
          <t>Interkoneksi rack, BMS dan inverter</t>
        </is>
      </c>
      <c r="J37" s="12" t="inlineStr">
        <is>
          <t>Terintegrasi/terpakai dalam purwarupa; sesuai kebijakan institusi</t>
        </is>
      </c>
    </row>
    <row r="38">
      <c r="A38" s="12" t="n">
        <v>35</v>
      </c>
      <c r="B38" s="12" t="inlineStr">
        <is>
          <t>Tahun II</t>
        </is>
      </c>
      <c r="C38" s="12" t="inlineStr">
        <is>
          <t>Bahan/komponen purwarupa</t>
        </is>
      </c>
      <c r="D38" s="12" t="inlineStr">
        <is>
          <t>Sensor temperatur baterai</t>
        </is>
      </c>
      <c r="E38" s="12" t="n">
        <v>16</v>
      </c>
      <c r="F38" s="12" t="inlineStr">
        <is>
          <t>unit</t>
        </is>
      </c>
      <c r="G38" s="84" t="n">
        <v>100000</v>
      </c>
      <c r="H38" s="84" t="n">
        <v>1600000</v>
      </c>
      <c r="I38" s="12" t="inlineStr">
        <is>
          <t>Monitoring multipoint rack dan enclosure</t>
        </is>
      </c>
      <c r="J38" s="12" t="inlineStr">
        <is>
          <t>Terintegrasi/terpakai dalam purwarupa; sesuai kebijakan institusi</t>
        </is>
      </c>
    </row>
    <row r="39">
      <c r="A39" s="12" t="n">
        <v>36</v>
      </c>
      <c r="B39" s="12" t="inlineStr">
        <is>
          <t>Tahun II</t>
        </is>
      </c>
      <c r="C39" s="12" t="inlineStr">
        <is>
          <t>Bahan/komponen purwarupa</t>
        </is>
      </c>
      <c r="D39" s="12" t="inlineStr">
        <is>
          <t>Emergency shutdown controller</t>
        </is>
      </c>
      <c r="E39" s="12" t="n">
        <v>4</v>
      </c>
      <c r="F39" s="12" t="inlineStr">
        <is>
          <t>unit</t>
        </is>
      </c>
      <c r="G39" s="84" t="n">
        <v>400000</v>
      </c>
      <c r="H39" s="84" t="n">
        <v>1600000</v>
      </c>
      <c r="I39" s="12" t="inlineStr">
        <is>
          <t>Pemutusan terkoordinasi BESS dan charger</t>
        </is>
      </c>
      <c r="J39" s="12" t="inlineStr">
        <is>
          <t>Terintegrasi/terpakai dalam purwarupa; sesuai kebijakan institusi</t>
        </is>
      </c>
    </row>
    <row r="40">
      <c r="A40" s="12" t="n">
        <v>37</v>
      </c>
      <c r="B40" s="12" t="inlineStr">
        <is>
          <t>Tahun II</t>
        </is>
      </c>
      <c r="C40" s="12" t="inlineStr">
        <is>
          <t>Bahan/komponen purwarupa</t>
        </is>
      </c>
      <c r="D40" s="12" t="inlineStr">
        <is>
          <t>Grounding dan SPD components</t>
        </is>
      </c>
      <c r="E40" s="12" t="n">
        <v>1</v>
      </c>
      <c r="F40" s="12" t="inlineStr">
        <is>
          <t>paket</t>
        </is>
      </c>
      <c r="G40" s="84" t="n">
        <v>5000000</v>
      </c>
      <c r="H40" s="84" t="n">
        <v>5000000</v>
      </c>
      <c r="I40" s="12" t="inlineStr">
        <is>
          <t>Proteksi petir/surge dan bonding</t>
        </is>
      </c>
      <c r="J40" s="12" t="inlineStr">
        <is>
          <t>Terintegrasi/terpakai dalam purwarupa; sesuai kebijakan institusi</t>
        </is>
      </c>
    </row>
    <row r="41">
      <c r="A41" s="12" t="n">
        <v>38</v>
      </c>
      <c r="B41" s="12" t="inlineStr">
        <is>
          <t>Tahun II</t>
        </is>
      </c>
      <c r="C41" s="12" t="inlineStr">
        <is>
          <t>Bahan/komponen purwarupa</t>
        </is>
      </c>
      <c r="D41" s="12" t="inlineStr">
        <is>
          <t>AC/DC cabling</t>
        </is>
      </c>
      <c r="E41" s="12" t="n">
        <v>1</v>
      </c>
      <c r="F41" s="12" t="inlineStr">
        <is>
          <t>lot</t>
        </is>
      </c>
      <c r="G41" s="84" t="n">
        <v>6000000</v>
      </c>
      <c r="H41" s="84" t="n">
        <v>6000000</v>
      </c>
      <c r="I41" s="12" t="inlineStr">
        <is>
          <t>Kabel daya PV–BESS–grid dan charger</t>
        </is>
      </c>
      <c r="J41" s="12" t="inlineStr">
        <is>
          <t>Terintegrasi/terpakai dalam purwarupa; sesuai kebijakan institusi</t>
        </is>
      </c>
    </row>
    <row r="42">
      <c r="A42" s="12" t="n">
        <v>39</v>
      </c>
      <c r="B42" s="12" t="inlineStr">
        <is>
          <t>Tahun II</t>
        </is>
      </c>
      <c r="C42" s="12" t="inlineStr">
        <is>
          <t>Bahan/komponen purwarupa</t>
        </is>
      </c>
      <c r="D42" s="12" t="inlineStr">
        <is>
          <t>Terminal, cable gland dan safety label</t>
        </is>
      </c>
      <c r="E42" s="12" t="n">
        <v>1</v>
      </c>
      <c r="F42" s="12" t="inlineStr">
        <is>
          <t>lot</t>
        </is>
      </c>
      <c r="G42" s="84" t="n">
        <v>3000000</v>
      </c>
      <c r="H42" s="84" t="n">
        <v>3000000</v>
      </c>
      <c r="I42" s="12" t="inlineStr">
        <is>
          <t>Perakitan panel dan penandaan keselamatan</t>
        </is>
      </c>
      <c r="J42" s="12" t="inlineStr">
        <is>
          <t>Terintegrasi/terpakai dalam purwarupa; sesuai kebijakan institusi</t>
        </is>
      </c>
    </row>
    <row r="43">
      <c r="A43" s="12" t="n">
        <v>40</v>
      </c>
      <c r="B43" s="12" t="inlineStr">
        <is>
          <t>Tahun II</t>
        </is>
      </c>
      <c r="C43" s="12" t="inlineStr">
        <is>
          <t>Bahan/komponen purwarupa</t>
        </is>
      </c>
      <c r="D43" s="12" t="inlineStr">
        <is>
          <t>Network surge protector</t>
        </is>
      </c>
      <c r="E43" s="12" t="n">
        <v>4</v>
      </c>
      <c r="F43" s="12" t="inlineStr">
        <is>
          <t>unit</t>
        </is>
      </c>
      <c r="G43" s="84" t="n">
        <v>500000</v>
      </c>
      <c r="H43" s="84" t="n">
        <v>2000000</v>
      </c>
      <c r="I43" s="12" t="inlineStr">
        <is>
          <t>Proteksi port Ethernet/RS485 pada perangkat lapangan</t>
        </is>
      </c>
      <c r="J43" s="12" t="inlineStr">
        <is>
          <t>Terintegrasi/terpakai dalam purwarupa; sesuai kebijakan institusi</t>
        </is>
      </c>
    </row>
    <row r="44">
      <c r="A44" s="12" t="n">
        <v>41</v>
      </c>
      <c r="B44" s="12" t="inlineStr">
        <is>
          <t>Tahun II</t>
        </is>
      </c>
      <c r="C44" s="12" t="inlineStr">
        <is>
          <t>Bahan/komponen purwarupa</t>
        </is>
      </c>
      <c r="D44" s="12" t="inlineStr">
        <is>
          <t>Cooling fan dan heat-sink</t>
        </is>
      </c>
      <c r="E44" s="12" t="n">
        <v>4</v>
      </c>
      <c r="F44" s="12" t="inlineStr">
        <is>
          <t>set</t>
        </is>
      </c>
      <c r="G44" s="84" t="n">
        <v>600000</v>
      </c>
      <c r="H44" s="84" t="n">
        <v>2400000</v>
      </c>
      <c r="I44" s="12" t="inlineStr">
        <is>
          <t>Manajemen termal panel dan controller</t>
        </is>
      </c>
      <c r="J44" s="12" t="inlineStr">
        <is>
          <t>Terintegrasi/terpakai dalam purwarupa; sesuai kebijakan institusi</t>
        </is>
      </c>
    </row>
    <row r="45">
      <c r="A45" s="12" t="n">
        <v>42</v>
      </c>
      <c r="B45" s="12" t="inlineStr">
        <is>
          <t>Tahun II</t>
        </is>
      </c>
      <c r="C45" s="12" t="inlineStr">
        <is>
          <t>Bahan/komponen purwarupa</t>
        </is>
      </c>
      <c r="D45" s="12" t="inlineStr">
        <is>
          <t>Spare relay, contactor dan sensor</t>
        </is>
      </c>
      <c r="E45" s="12" t="n">
        <v>1</v>
      </c>
      <c r="F45" s="12" t="inlineStr">
        <is>
          <t>lot</t>
        </is>
      </c>
      <c r="G45" s="84" t="n">
        <v>4000000</v>
      </c>
      <c r="H45" s="84" t="n">
        <v>4000000</v>
      </c>
      <c r="I45" s="12" t="inlineStr">
        <is>
          <t>Penggantian saat commissioning/fault injection</t>
        </is>
      </c>
      <c r="J45" s="12" t="inlineStr">
        <is>
          <t>Terintegrasi/terpakai dalam purwarupa; sesuai kebijakan institusi</t>
        </is>
      </c>
    </row>
    <row r="46">
      <c r="A46" s="12" t="n">
        <v>43</v>
      </c>
      <c r="B46" s="12" t="inlineStr">
        <is>
          <t>Tahun II</t>
        </is>
      </c>
      <c r="C46" s="12" t="inlineStr">
        <is>
          <t>Bahan/komponen purwarupa</t>
        </is>
      </c>
      <c r="D46" s="12" t="inlineStr">
        <is>
          <t>Mounting bracket dan komponen enclosure</t>
        </is>
      </c>
      <c r="E46" s="12" t="n">
        <v>1</v>
      </c>
      <c r="F46" s="12" t="inlineStr">
        <is>
          <t>lot</t>
        </is>
      </c>
      <c r="G46" s="84" t="n">
        <v>1000000</v>
      </c>
      <c r="H46" s="84" t="n">
        <v>1000000</v>
      </c>
      <c r="I46" s="12" t="inlineStr">
        <is>
          <t>Penguatan perakitan panel dan sensor</t>
        </is>
      </c>
      <c r="J46" s="12" t="inlineStr">
        <is>
          <t>Terintegrasi/terpakai dalam purwarupa; sesuai kebijakan institusi</t>
        </is>
      </c>
    </row>
    <row r="48">
      <c r="A48" s="29" t="n"/>
      <c r="B48" s="29" t="inlineStr">
        <is>
          <t>RINGKASAN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</row>
    <row r="49">
      <c r="B49" s="18" t="inlineStr">
        <is>
          <t>Tahun</t>
        </is>
      </c>
      <c r="C49" s="18" t="inlineStr">
        <is>
          <t>Jumlah Baris Barang</t>
        </is>
      </c>
      <c r="D49" s="18" t="inlineStr">
        <is>
          <t>Belanja Modal</t>
        </is>
      </c>
      <c r="E49" s="18" t="inlineStr">
        <is>
          <t>Komponen Purwarupa</t>
        </is>
      </c>
    </row>
    <row r="50">
      <c r="B50" t="inlineStr">
        <is>
          <t>Tahun I</t>
        </is>
      </c>
      <c r="C50" t="n">
        <v>22</v>
      </c>
      <c r="D50" s="89" t="n">
        <v>25000000</v>
      </c>
      <c r="E50" s="89" t="n">
        <v>40000000</v>
      </c>
    </row>
    <row r="51">
      <c r="B51" t="inlineStr">
        <is>
          <t>Tahun II</t>
        </is>
      </c>
      <c r="C51" t="n">
        <v>21</v>
      </c>
      <c r="D51" s="89" t="n">
        <v>25000000</v>
      </c>
      <c r="E51" s="89" t="n">
        <v>40000000</v>
      </c>
    </row>
    <row r="52">
      <c r="B52" s="37" t="inlineStr">
        <is>
          <t>Total</t>
        </is>
      </c>
      <c r="C52" s="37" t="n">
        <v>43</v>
      </c>
      <c r="D52" s="90" t="n">
        <v>50000000</v>
      </c>
      <c r="E52" s="90" t="n">
        <v>80000000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0" customWidth="1" min="3" max="3"/>
    <col width="42" customWidth="1" min="4" max="4"/>
    <col width="52" customWidth="1" min="5" max="5"/>
  </cols>
  <sheetData>
    <row r="1">
      <c r="A1" s="9" t="inlineStr">
        <is>
          <t>TIM PERISET RIIM KOMPETISI 2026</t>
        </is>
      </c>
      <c r="B1" s="1" t="n"/>
      <c r="C1" s="1" t="n"/>
      <c r="D1" s="1" t="n"/>
      <c r="E1" s="1" t="n"/>
    </row>
    <row r="3">
      <c r="A3" s="18" t="inlineStr">
        <is>
          <t>Posisi</t>
        </is>
      </c>
      <c r="B3" s="18" t="inlineStr">
        <is>
          <t>Nama</t>
        </is>
      </c>
      <c r="C3" s="18" t="inlineStr">
        <is>
          <t>Institusi</t>
        </is>
      </c>
      <c r="D3" s="18" t="inlineStr">
        <is>
          <t>Kepakaran</t>
        </is>
      </c>
      <c r="E3" s="18" t="inlineStr">
        <is>
          <t>Peran</t>
        </is>
      </c>
    </row>
    <row r="4">
      <c r="A4" s="12" t="inlineStr">
        <is>
          <t>Ketua</t>
        </is>
      </c>
      <c r="B4" s="12" t="inlineStr">
        <is>
          <t>Prof. Dr. Subiyanto, S.T., M.T.</t>
        </is>
      </c>
      <c r="C4" s="12" t="inlineStr">
        <is>
          <t>Universitas Negeri Semarang</t>
        </is>
      </c>
      <c r="D4" s="12" t="inlineStr">
        <is>
          <t>Intelligent control, power electronics, AI</t>
        </is>
      </c>
      <c r="E4" s="12" t="inlineStr">
        <is>
          <t>Ketua; novelty, integrasi sistem, scientific governance</t>
        </is>
      </c>
    </row>
    <row r="5">
      <c r="A5" s="12" t="inlineStr">
        <is>
          <t>Anggota 1</t>
        </is>
      </c>
      <c r="B5" s="12" t="inlineStr">
        <is>
          <t>Bagaskoro Saputro, S.Si., M.Cs.</t>
        </is>
      </c>
      <c r="C5" s="12" t="inlineStr">
        <is>
          <t>BINUS University</t>
        </is>
      </c>
      <c r="D5" s="12" t="inlineStr">
        <is>
          <t>IoT-edge, backend, cybersecurity</t>
        </is>
      </c>
      <c r="E5" s="12" t="inlineStr">
        <is>
          <t>Gateway, CSMS/CMS, dashboard, interoperabilitas, keamanan</t>
        </is>
      </c>
    </row>
    <row r="6">
      <c r="A6" s="12" t="inlineStr">
        <is>
          <t>Anggota 2</t>
        </is>
      </c>
      <c r="B6" s="12" t="inlineStr">
        <is>
          <t>Mario Norman Syah, S.Pd., M.Eng.</t>
        </is>
      </c>
      <c r="C6" s="12" t="inlineStr">
        <is>
          <t>Universitas Negeri Semarang</t>
        </is>
      </c>
      <c r="D6" s="12" t="inlineStr">
        <is>
          <t>PV–BESS, power electronics, EMS</t>
        </is>
      </c>
      <c r="E6" s="12" t="inlineStr">
        <is>
          <t>Sizing PV–BESS, integrasi perangkat daya, formulasi dan pengujian EMS</t>
        </is>
      </c>
    </row>
    <row r="7">
      <c r="A7" s="12" t="inlineStr">
        <is>
          <t>Anggota 3</t>
        </is>
      </c>
      <c r="B7" s="12" t="inlineStr">
        <is>
          <t>Adhe Lingga Dewi, S.Si., M.Si.</t>
        </is>
      </c>
      <c r="C7" s="12" t="inlineStr">
        <is>
          <t>BINUS University</t>
        </is>
      </c>
      <c r="D7" s="12" t="inlineStr">
        <is>
          <t>IoT sensor, ANN/ML, data quality</t>
        </is>
      </c>
      <c r="E7" s="12" t="inlineStr">
        <is>
          <t>Kalibrasi, forecasting, anomaly detection, pengelolaan data</t>
        </is>
      </c>
    </row>
    <row r="8">
      <c r="A8" s="12" t="inlineStr">
        <is>
          <t>Anggota 4</t>
        </is>
      </c>
      <c r="B8" s="12" t="inlineStr">
        <is>
          <t>Ir. Turnad Lenggo Ginta, S.T., M.T., Ph.D.</t>
        </is>
      </c>
      <c r="C8" s="12" t="inlineStr">
        <is>
          <t>BRIN</t>
        </is>
      </c>
      <c r="D8" s="12" t="inlineStr">
        <is>
          <t>Techno-economic, energy policy, hilirisasi</t>
        </is>
      </c>
      <c r="E8" s="12" t="inlineStr">
        <is>
          <t>Analisis biaya-emisi, ESG, kebijakan, hilirisasi</t>
        </is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8" customWidth="1" min="3" max="3"/>
    <col width="18" customWidth="1" min="4" max="4"/>
    <col width="30" customWidth="1" min="5" max="5"/>
    <col width="65" customWidth="1" min="6" max="6"/>
  </cols>
  <sheetData>
    <row r="1">
      <c r="A1" s="9" t="inlineStr">
        <is>
          <t>CATATAN DAN VALIDASI RAB</t>
        </is>
      </c>
      <c r="B1" s="1" t="n"/>
      <c r="C1" s="1" t="n"/>
      <c r="D1" s="1" t="n"/>
      <c r="E1" s="1" t="n"/>
      <c r="F1" s="1" t="n"/>
    </row>
    <row r="3">
      <c r="A3" s="18" t="inlineStr">
        <is>
          <t>No.</t>
        </is>
      </c>
      <c r="B3" s="18" t="inlineStr">
        <is>
          <t>Aspek</t>
        </is>
      </c>
      <c r="C3" s="18" t="inlineStr">
        <is>
          <t>Tahun I</t>
        </is>
      </c>
      <c r="D3" s="18" t="inlineStr">
        <is>
          <t>Tahun II</t>
        </is>
      </c>
      <c r="E3" s="18" t="inlineStr">
        <is>
          <t>Ketentuan/Status</t>
        </is>
      </c>
      <c r="F3" s="18" t="inlineStr">
        <is>
          <t>Catatan</t>
        </is>
      </c>
    </row>
    <row r="4">
      <c r="A4" t="n">
        <v>1</v>
      </c>
      <c r="B4" t="inlineStr">
        <is>
          <t>Total pendanaan</t>
        </is>
      </c>
      <c r="C4" s="89" t="n">
        <v>250000000</v>
      </c>
      <c r="D4" s="89" t="n">
        <v>250000000</v>
      </c>
      <c r="E4" t="inlineStr">
        <is>
          <t>Pagu kerja revisi</t>
        </is>
      </c>
      <c r="F4" t="inlineStr">
        <is>
          <t>Total dua tahun Rp500.000.000</t>
        </is>
      </c>
    </row>
    <row r="5">
      <c r="A5" t="n">
        <v>2</v>
      </c>
      <c r="B5" t="inlineStr">
        <is>
          <t>BLP</t>
        </is>
      </c>
      <c r="C5" s="89" t="n">
        <v>52800000</v>
      </c>
      <c r="D5" s="89" t="n">
        <v>52800000</v>
      </c>
      <c r="E5" t="inlineStr">
        <is>
          <t>Maksimum 25%</t>
        </is>
      </c>
      <c r="F5" t="inlineStr">
        <is>
          <t>1 ketua + 4 anggota, honor 4 bulan penuh</t>
        </is>
      </c>
    </row>
    <row r="6">
      <c r="A6" t="n">
        <v>3</v>
      </c>
      <c r="B6" t="inlineStr">
        <is>
          <t>BLNP</t>
        </is>
      </c>
      <c r="C6" s="89" t="n">
        <v>184700000</v>
      </c>
      <c r="D6" s="89" t="n">
        <v>184700000</v>
      </c>
      <c r="E6" t="inlineStr">
        <is>
          <t>Minimum 70%</t>
        </is>
      </c>
      <c r="F6" t="inlineStr">
        <is>
          <t>73,88% per tahun</t>
        </is>
      </c>
    </row>
    <row r="7">
      <c r="A7" t="n">
        <v>4</v>
      </c>
      <c r="B7" t="inlineStr">
        <is>
          <t>BTL</t>
        </is>
      </c>
      <c r="C7" s="89" t="n">
        <v>12500000</v>
      </c>
      <c r="D7" s="89" t="n">
        <v>12500000</v>
      </c>
      <c r="E7" t="inlineStr">
        <is>
          <t>Maksimum 5%</t>
        </is>
      </c>
      <c r="F7" t="inlineStr">
        <is>
          <t>Khusus monev internal</t>
        </is>
      </c>
    </row>
    <row r="8">
      <c r="A8" t="n">
        <v>5</v>
      </c>
      <c r="B8" t="inlineStr">
        <is>
          <t>Belanja modal</t>
        </is>
      </c>
      <c r="C8" s="89" t="n">
        <v>25000000</v>
      </c>
      <c r="D8" s="89" t="n">
        <v>25000000</v>
      </c>
      <c r="E8" t="inlineStr">
        <is>
          <t>10% per tahun</t>
        </is>
      </c>
      <c r="F8" t="inlineStr">
        <is>
          <t>8 baris Tahun I dan 7 baris Tahun II</t>
        </is>
      </c>
    </row>
    <row r="9">
      <c r="A9" t="n">
        <v>6</v>
      </c>
      <c r="B9" t="inlineStr">
        <is>
          <t>Komponen purwarupa</t>
        </is>
      </c>
      <c r="C9" s="89" t="n">
        <v>40000000</v>
      </c>
      <c r="D9" s="89" t="n">
        <v>40000000</v>
      </c>
      <c r="E9" t="inlineStr">
        <is>
          <t>BLNP</t>
        </is>
      </c>
      <c r="F9" t="inlineStr">
        <is>
          <t>14 baris komponen fisik pada setiap tahun</t>
        </is>
      </c>
    </row>
    <row r="11">
      <c r="A11" s="31" t="inlineStr">
        <is>
          <t>ASUMSI DAN VALIDASI SEBELUM SUBMIT</t>
        </is>
      </c>
      <c r="B11" s="1" t="n"/>
      <c r="C11" s="1" t="n"/>
      <c r="D11" s="1" t="n"/>
      <c r="E11" s="1" t="n"/>
      <c r="F11" s="1" t="n"/>
    </row>
    <row r="12">
      <c r="A12" s="12" t="inlineStr">
        <is>
          <t>1</t>
        </is>
      </c>
      <c r="B12" s="13" t="inlineStr">
        <is>
          <t>Klasifikasi belanja modal dan bahan/komponen purwarupa harus dikonfirmasi dengan kebijakan pencatatan aset institusi.</t>
        </is>
      </c>
      <c r="C12" s="1" t="n"/>
      <c r="D12" s="1" t="n"/>
      <c r="E12" s="1" t="n"/>
      <c r="F12" s="1" t="n"/>
    </row>
    <row r="13">
      <c r="A13" s="12" t="inlineStr">
        <is>
          <t>2</t>
        </is>
      </c>
      <c r="B13" s="13" t="inlineStr">
        <is>
          <t>Charger, display, PV, BESS dan inverter tetap menggunakan perangkat mitra/in-kind/sewa; surat dukungan harus menyebutkan jenis, kapasitas dan lama penggunaan.</t>
        </is>
      </c>
      <c r="C13" s="1" t="n"/>
      <c r="D13" s="1" t="n"/>
      <c r="E13" s="1" t="n"/>
      <c r="F13" s="1" t="n"/>
    </row>
    <row r="14">
      <c r="A14" s="12" t="inlineStr">
        <is>
          <t>3</t>
        </is>
      </c>
      <c r="B14" s="13" t="inlineStr">
        <is>
          <t>HPS wajib diperbarui dengan minimal dua quotation/vendor serta SBM/SBK tahun berjalan.</t>
        </is>
      </c>
      <c r="C14" s="1" t="n"/>
      <c r="D14" s="1" t="n"/>
      <c r="E14" s="1" t="n"/>
      <c r="F14" s="1" t="n"/>
    </row>
    <row r="15">
      <c r="A15" s="12" t="inlineStr">
        <is>
          <t>4</t>
        </is>
      </c>
      <c r="B15" s="13" t="inlineStr">
        <is>
          <t>Tidak ada pekerjaan sipil permanen; mounting yang digunakan bersifat modular/nonpermanen dan berasal dari sewa/dukungan mitra.</t>
        </is>
      </c>
      <c r="C15" s="1" t="n"/>
      <c r="D15" s="1" t="n"/>
      <c r="E15" s="1" t="n"/>
      <c r="F15" s="1" t="n"/>
    </row>
    <row r="16">
      <c r="A16" s="12" t="inlineStr">
        <is>
          <t>5</t>
        </is>
      </c>
      <c r="B16" s="13" t="inlineStr">
        <is>
          <t>Jumlah barang diperbanyak tanpa mengubah total pagu Rp250 juta per tahun dan komposisi BLP–BLNP–BTL.</t>
        </is>
      </c>
      <c r="C16" s="1" t="n"/>
      <c r="D16" s="1" t="n"/>
      <c r="E16" s="1" t="n"/>
      <c r="F16" s="1" t="n"/>
    </row>
  </sheetData>
  <mergeCells count="7">
    <mergeCell ref="A11:F11"/>
    <mergeCell ref="B12:F12"/>
    <mergeCell ref="B16:F16"/>
    <mergeCell ref="B15:F15"/>
    <mergeCell ref="A1:F1"/>
    <mergeCell ref="B14:F14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2026-07-22T12:31:38Z</dcterms:created>
  <dcterms:modified xsi:type="dcterms:W3CDTF">2026-07-22T12:31:38Z</dcterms:modified>
</cp:coreProperties>
</file>