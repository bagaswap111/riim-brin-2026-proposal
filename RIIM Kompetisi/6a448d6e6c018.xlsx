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f5e8b1f4bd0aa3/Documents/1. RIIM KOMPETISI/Others/Pembukaan program/"/>
    </mc:Choice>
  </mc:AlternateContent>
  <xr:revisionPtr revIDLastSave="4" documentId="13_ncr:1_{03D29048-646E-4832-8F95-A6E8DF8A5FAA}" xr6:coauthVersionLast="47" xr6:coauthVersionMax="47" xr10:uidLastSave="{0F1DD272-01F0-490F-938D-3DCA2124D13C}"/>
  <bookViews>
    <workbookView xWindow="-110" yWindow="-110" windowWidth="19420" windowHeight="11500" tabRatio="647" activeTab="3" xr2:uid="{00000000-000D-0000-FFFF-FFFF00000000}"/>
  </bookViews>
  <sheets>
    <sheet name="Tatacara Pengisian" sheetId="17" r:id="rId1"/>
    <sheet name="Rincian (th1)" sheetId="20" r:id="rId2"/>
    <sheet name="Rincian (th2)" sheetId="18" r:id="rId3"/>
    <sheet name="Rincian (th3)" sheetId="19" r:id="rId4"/>
    <sheet name="Rekap" sheetId="5" r:id="rId5"/>
  </sheets>
  <definedNames>
    <definedName name="_xlnm.Print_Area" localSheetId="4">Rekap!$A$1:$H$26</definedName>
    <definedName name="_xlnm.Print_Area" localSheetId="1">'Rincian (th1)'!$A$1:$L$81</definedName>
    <definedName name="_xlnm.Print_Area" localSheetId="2">'Rincian (th2)'!$A$1:$L$81</definedName>
    <definedName name="_xlnm.Print_Area" localSheetId="3">'Rincian (th3)'!$A$1:$L$81</definedName>
    <definedName name="_xlnm.Print_Titles" localSheetId="1">'Rincian (th1)'!$10:$12</definedName>
    <definedName name="_xlnm.Print_Titles" localSheetId="2">'Rincian (th2)'!$10:$12</definedName>
    <definedName name="_xlnm.Print_Titles" localSheetId="3">'Rincian (th3)'!$10:$12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20" l="1"/>
  <c r="J78" i="20"/>
  <c r="J77" i="20"/>
  <c r="J76" i="20"/>
  <c r="J75" i="20"/>
  <c r="L73" i="20"/>
  <c r="J72" i="20"/>
  <c r="J71" i="20"/>
  <c r="J70" i="20"/>
  <c r="J69" i="20"/>
  <c r="L62" i="20"/>
  <c r="J61" i="20"/>
  <c r="K60" i="20"/>
  <c r="J60" i="20"/>
  <c r="L58" i="20"/>
  <c r="J57" i="20"/>
  <c r="J56" i="20"/>
  <c r="L52" i="20"/>
  <c r="J51" i="20"/>
  <c r="K50" i="20"/>
  <c r="J50" i="20"/>
  <c r="L48" i="20"/>
  <c r="J47" i="20"/>
  <c r="J46" i="20"/>
  <c r="L44" i="20"/>
  <c r="J43" i="20"/>
  <c r="J42" i="20"/>
  <c r="L40" i="20"/>
  <c r="J39" i="20"/>
  <c r="J38" i="20"/>
  <c r="L34" i="20"/>
  <c r="J33" i="20"/>
  <c r="J32" i="20"/>
  <c r="L30" i="20"/>
  <c r="J29" i="20"/>
  <c r="J28" i="20"/>
  <c r="L26" i="20"/>
  <c r="J25" i="20"/>
  <c r="J24" i="20"/>
  <c r="L20" i="20"/>
  <c r="K19" i="20"/>
  <c r="J19" i="20"/>
  <c r="J18" i="20"/>
  <c r="J17" i="20"/>
  <c r="J16" i="20"/>
  <c r="L79" i="19"/>
  <c r="J78" i="19"/>
  <c r="K78" i="19" s="1"/>
  <c r="J77" i="19"/>
  <c r="J76" i="19"/>
  <c r="K76" i="19" s="1"/>
  <c r="J75" i="19"/>
  <c r="K75" i="19" s="1"/>
  <c r="L73" i="19"/>
  <c r="J72" i="19"/>
  <c r="K72" i="19" s="1"/>
  <c r="J71" i="19"/>
  <c r="K71" i="19" s="1"/>
  <c r="J70" i="19"/>
  <c r="K70" i="19" s="1"/>
  <c r="J69" i="19"/>
  <c r="J73" i="19" s="1"/>
  <c r="L62" i="19"/>
  <c r="L63" i="19" s="1"/>
  <c r="J61" i="19"/>
  <c r="K61" i="19" s="1"/>
  <c r="J60" i="19"/>
  <c r="L58" i="19"/>
  <c r="J57" i="19"/>
  <c r="J56" i="19"/>
  <c r="K56" i="19" s="1"/>
  <c r="L52" i="19"/>
  <c r="J51" i="19"/>
  <c r="K51" i="19" s="1"/>
  <c r="J50" i="19"/>
  <c r="J52" i="19" s="1"/>
  <c r="L48" i="19"/>
  <c r="J47" i="19"/>
  <c r="K47" i="19" s="1"/>
  <c r="J46" i="19"/>
  <c r="J48" i="19" s="1"/>
  <c r="L44" i="19"/>
  <c r="J43" i="19"/>
  <c r="K43" i="19" s="1"/>
  <c r="J42" i="19"/>
  <c r="J44" i="19" s="1"/>
  <c r="L40" i="19"/>
  <c r="L53" i="19" s="1"/>
  <c r="J39" i="19"/>
  <c r="K39" i="19" s="1"/>
  <c r="J38" i="19"/>
  <c r="J40" i="19" s="1"/>
  <c r="L34" i="19"/>
  <c r="J33" i="19"/>
  <c r="J32" i="19"/>
  <c r="K32" i="19" s="1"/>
  <c r="L30" i="19"/>
  <c r="J29" i="19"/>
  <c r="K29" i="19" s="1"/>
  <c r="J28" i="19"/>
  <c r="J30" i="19" s="1"/>
  <c r="L26" i="19"/>
  <c r="L35" i="19" s="1"/>
  <c r="J25" i="19"/>
  <c r="J24" i="19"/>
  <c r="K24" i="19" s="1"/>
  <c r="L20" i="19"/>
  <c r="J19" i="19"/>
  <c r="K19" i="19" s="1"/>
  <c r="J18" i="19"/>
  <c r="K18" i="19" s="1"/>
  <c r="J17" i="19"/>
  <c r="K17" i="19" s="1"/>
  <c r="J16" i="19"/>
  <c r="J20" i="19" s="1"/>
  <c r="L79" i="18"/>
  <c r="J78" i="18"/>
  <c r="K78" i="18" s="1"/>
  <c r="J77" i="18"/>
  <c r="J76" i="18"/>
  <c r="K76" i="18" s="1"/>
  <c r="J75" i="18"/>
  <c r="K75" i="18" s="1"/>
  <c r="L73" i="18"/>
  <c r="J72" i="18"/>
  <c r="K72" i="18" s="1"/>
  <c r="J71" i="18"/>
  <c r="K71" i="18" s="1"/>
  <c r="J70" i="18"/>
  <c r="K70" i="18" s="1"/>
  <c r="J69" i="18"/>
  <c r="J73" i="18" s="1"/>
  <c r="L62" i="18"/>
  <c r="J61" i="18"/>
  <c r="K61" i="18" s="1"/>
  <c r="J60" i="18"/>
  <c r="K60" i="18" s="1"/>
  <c r="K62" i="18" s="1"/>
  <c r="L58" i="18"/>
  <c r="L63" i="18" s="1"/>
  <c r="J57" i="18"/>
  <c r="J56" i="18"/>
  <c r="K56" i="18" s="1"/>
  <c r="L52" i="18"/>
  <c r="J51" i="18"/>
  <c r="K51" i="18" s="1"/>
  <c r="J50" i="18"/>
  <c r="J52" i="18" s="1"/>
  <c r="L48" i="18"/>
  <c r="J47" i="18"/>
  <c r="K47" i="18" s="1"/>
  <c r="J46" i="18"/>
  <c r="J48" i="18" s="1"/>
  <c r="L44" i="18"/>
  <c r="J43" i="18"/>
  <c r="K43" i="18" s="1"/>
  <c r="J42" i="18"/>
  <c r="J44" i="18" s="1"/>
  <c r="L40" i="18"/>
  <c r="J39" i="18"/>
  <c r="K39" i="18" s="1"/>
  <c r="J38" i="18"/>
  <c r="J40" i="18" s="1"/>
  <c r="L34" i="18"/>
  <c r="J33" i="18"/>
  <c r="J34" i="18" s="1"/>
  <c r="K32" i="18"/>
  <c r="J32" i="18"/>
  <c r="L30" i="18"/>
  <c r="J29" i="18"/>
  <c r="K29" i="18" s="1"/>
  <c r="J28" i="18"/>
  <c r="J30" i="18" s="1"/>
  <c r="L26" i="18"/>
  <c r="J25" i="18"/>
  <c r="J24" i="18"/>
  <c r="K24" i="18" s="1"/>
  <c r="L20" i="18"/>
  <c r="J19" i="18"/>
  <c r="K19" i="18" s="1"/>
  <c r="J18" i="18"/>
  <c r="K18" i="18" s="1"/>
  <c r="J17" i="18"/>
  <c r="K17" i="18" s="1"/>
  <c r="J16" i="18"/>
  <c r="J20" i="18" s="1"/>
  <c r="L80" i="20" l="1"/>
  <c r="L81" i="20" s="1"/>
  <c r="J79" i="20"/>
  <c r="J80" i="20" s="1"/>
  <c r="J81" i="20" s="1"/>
  <c r="K78" i="20"/>
  <c r="K77" i="20"/>
  <c r="K76" i="20"/>
  <c r="K75" i="20"/>
  <c r="K79" i="20" s="1"/>
  <c r="K80" i="20" s="1"/>
  <c r="K81" i="20" s="1"/>
  <c r="J73" i="20"/>
  <c r="K72" i="20"/>
  <c r="K71" i="20"/>
  <c r="K70" i="20"/>
  <c r="K69" i="20"/>
  <c r="K73" i="20" s="1"/>
  <c r="L63" i="20"/>
  <c r="K62" i="20"/>
  <c r="J62" i="20"/>
  <c r="K61" i="20"/>
  <c r="K28" i="20"/>
  <c r="K24" i="20"/>
  <c r="J58" i="20"/>
  <c r="J63" i="20" s="1"/>
  <c r="K57" i="20"/>
  <c r="K56" i="20"/>
  <c r="K58" i="20" s="1"/>
  <c r="L53" i="20"/>
  <c r="J52" i="20"/>
  <c r="K51" i="20"/>
  <c r="K32" i="20"/>
  <c r="J30" i="20"/>
  <c r="K25" i="20"/>
  <c r="K16" i="20"/>
  <c r="J48" i="20"/>
  <c r="K47" i="20"/>
  <c r="K46" i="20"/>
  <c r="K48" i="20" s="1"/>
  <c r="J44" i="20"/>
  <c r="K43" i="20"/>
  <c r="K42" i="20"/>
  <c r="K44" i="20" s="1"/>
  <c r="J40" i="20"/>
  <c r="J53" i="20" s="1"/>
  <c r="K39" i="20"/>
  <c r="K38" i="20"/>
  <c r="K40" i="20" s="1"/>
  <c r="L35" i="20"/>
  <c r="J34" i="20"/>
  <c r="K33" i="20"/>
  <c r="K29" i="20"/>
  <c r="J26" i="20"/>
  <c r="J35" i="20" s="1"/>
  <c r="J20" i="20"/>
  <c r="K18" i="20"/>
  <c r="K17" i="20"/>
  <c r="J26" i="19"/>
  <c r="J35" i="19" s="1"/>
  <c r="J34" i="19"/>
  <c r="J58" i="19"/>
  <c r="J79" i="19"/>
  <c r="J80" i="19" s="1"/>
  <c r="J62" i="19"/>
  <c r="L80" i="19"/>
  <c r="K38" i="18"/>
  <c r="J58" i="18"/>
  <c r="J79" i="18"/>
  <c r="J80" i="18" s="1"/>
  <c r="K40" i="18"/>
  <c r="L53" i="18"/>
  <c r="L80" i="18"/>
  <c r="L81" i="18" s="1"/>
  <c r="J26" i="18"/>
  <c r="J35" i="18" s="1"/>
  <c r="L35" i="18"/>
  <c r="K46" i="18"/>
  <c r="K48" i="18"/>
  <c r="J81" i="19"/>
  <c r="J63" i="19"/>
  <c r="J53" i="19"/>
  <c r="K57" i="19"/>
  <c r="K58" i="19" s="1"/>
  <c r="K63" i="19" s="1"/>
  <c r="K69" i="19"/>
  <c r="K73" i="19" s="1"/>
  <c r="K25" i="19"/>
  <c r="K26" i="19" s="1"/>
  <c r="K33" i="19"/>
  <c r="K34" i="19" s="1"/>
  <c r="K77" i="19"/>
  <c r="K79" i="19" s="1"/>
  <c r="K80" i="19" s="1"/>
  <c r="K16" i="19"/>
  <c r="K20" i="19" s="1"/>
  <c r="K42" i="19"/>
  <c r="K44" i="19" s="1"/>
  <c r="K50" i="19"/>
  <c r="K52" i="19" s="1"/>
  <c r="K60" i="19"/>
  <c r="K62" i="19" s="1"/>
  <c r="K28" i="19"/>
  <c r="K30" i="19" s="1"/>
  <c r="K38" i="19"/>
  <c r="K40" i="19" s="1"/>
  <c r="K46" i="19"/>
  <c r="K48" i="19" s="1"/>
  <c r="J53" i="18"/>
  <c r="K25" i="18"/>
  <c r="K26" i="18" s="1"/>
  <c r="K50" i="18"/>
  <c r="K52" i="18" s="1"/>
  <c r="J62" i="18"/>
  <c r="J63" i="18" s="1"/>
  <c r="J81" i="18" s="1"/>
  <c r="K57" i="18"/>
  <c r="K58" i="18" s="1"/>
  <c r="K63" i="18" s="1"/>
  <c r="K69" i="18"/>
  <c r="K73" i="18" s="1"/>
  <c r="K33" i="18"/>
  <c r="K34" i="18" s="1"/>
  <c r="K77" i="18"/>
  <c r="K79" i="18" s="1"/>
  <c r="K16" i="18"/>
  <c r="K20" i="18" s="1"/>
  <c r="K42" i="18"/>
  <c r="K44" i="18" s="1"/>
  <c r="K28" i="18"/>
  <c r="K30" i="18" s="1"/>
  <c r="K30" i="20" l="1"/>
  <c r="K26" i="20"/>
  <c r="K63" i="20"/>
  <c r="K52" i="20"/>
  <c r="K53" i="20" s="1"/>
  <c r="K34" i="20"/>
  <c r="K20" i="20"/>
  <c r="L81" i="19"/>
  <c r="K53" i="18"/>
  <c r="K35" i="19"/>
  <c r="K53" i="19"/>
  <c r="K81" i="19" s="1"/>
  <c r="K35" i="18"/>
  <c r="K80" i="18"/>
  <c r="K81" i="18" s="1"/>
  <c r="K35" i="20" l="1"/>
  <c r="C3" i="5"/>
  <c r="C4" i="5"/>
  <c r="C5" i="5"/>
  <c r="C6" i="5"/>
  <c r="C7" i="5"/>
  <c r="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lpdp-user</author>
  </authors>
  <commentList>
    <comment ref="L15" authorId="0" shapeId="0" xr:uid="{3036B04F-9476-4788-A121-2E453A4A457F}">
      <text>
        <r>
          <rPr>
            <b/>
            <sz val="9"/>
            <color rgb="FF000000"/>
            <rFont val="Tahoma"/>
            <family val="2"/>
          </rPr>
          <t xml:space="preserve">lpdp-user:
</t>
        </r>
        <r>
          <rPr>
            <sz val="9"/>
            <color rgb="FF000000"/>
            <rFont val="Tahoma"/>
            <family val="2"/>
          </rPr>
          <t xml:space="preserve">Besaran Pendanaan RISPRO untuk gaji dan/atau honorarium Pengusul RISPRO </t>
        </r>
        <r>
          <rPr>
            <b/>
            <sz val="9"/>
            <color rgb="FF000000"/>
            <rFont val="Tahoma"/>
            <family val="2"/>
          </rPr>
          <t>maksimal 30%</t>
        </r>
        <r>
          <rPr>
            <sz val="9"/>
            <color rgb="FF000000"/>
            <rFont val="Tahoma"/>
            <family val="2"/>
          </rPr>
          <t xml:space="preserve"> dari total pendanaan dan diatur dengan satuan biaya tertinggi sebagai berikut:
</t>
        </r>
        <r>
          <rPr>
            <sz val="9"/>
            <color rgb="FF000000"/>
            <rFont val="Tahoma"/>
            <family val="2"/>
          </rPr>
          <t xml:space="preserve">No. Uraian Satuan Biaya
</t>
        </r>
        <r>
          <rPr>
            <sz val="9"/>
            <color rgb="FF000000"/>
            <rFont val="Tahoma"/>
            <family val="2"/>
          </rPr>
          <t xml:space="preserve">1 Ketua  Rp3.600.000 per bulan
</t>
        </r>
        <r>
          <rPr>
            <sz val="9"/>
            <color rgb="FF000000"/>
            <rFont val="Tahoma"/>
            <family val="2"/>
          </rPr>
          <t xml:space="preserve">2 Anggota  Rp2.400.000 per bulan
</t>
        </r>
        <r>
          <rPr>
            <sz val="9"/>
            <color rgb="FF000000"/>
            <rFont val="Tahoma"/>
            <family val="2"/>
          </rPr>
          <t xml:space="preserve">3 Asisten  Rp1.500.000 per bulan
</t>
        </r>
        <r>
          <rPr>
            <sz val="9"/>
            <color rgb="FF000000"/>
            <rFont val="Tahoma"/>
            <family val="2"/>
          </rPr>
          <t xml:space="preserve">4 Administrator  Rp820.000 per bulan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lpdp-user</author>
  </authors>
  <commentList>
    <comment ref="L15" authorId="0" shapeId="0" xr:uid="{409848D8-E718-48D8-BC84-C2E2D4812348}">
      <text>
        <r>
          <rPr>
            <b/>
            <sz val="9"/>
            <color rgb="FF000000"/>
            <rFont val="Tahoma"/>
            <family val="2"/>
          </rPr>
          <t xml:space="preserve">lpdp-user:
</t>
        </r>
        <r>
          <rPr>
            <sz val="9"/>
            <color rgb="FF000000"/>
            <rFont val="Tahoma"/>
            <family val="2"/>
          </rPr>
          <t xml:space="preserve">Besaran Pendanaan RISPRO untuk gaji dan/atau honorarium Pengusul RISPRO </t>
        </r>
        <r>
          <rPr>
            <b/>
            <sz val="9"/>
            <color rgb="FF000000"/>
            <rFont val="Tahoma"/>
            <family val="2"/>
          </rPr>
          <t>maksimal 30%</t>
        </r>
        <r>
          <rPr>
            <sz val="9"/>
            <color rgb="FF000000"/>
            <rFont val="Tahoma"/>
            <family val="2"/>
          </rPr>
          <t xml:space="preserve"> dari total pendanaan dan diatur dengan satuan biaya tertinggi sebagai berikut:
</t>
        </r>
        <r>
          <rPr>
            <sz val="9"/>
            <color rgb="FF000000"/>
            <rFont val="Tahoma"/>
            <family val="2"/>
          </rPr>
          <t xml:space="preserve">No. Uraian Satuan Biaya
</t>
        </r>
        <r>
          <rPr>
            <sz val="9"/>
            <color rgb="FF000000"/>
            <rFont val="Tahoma"/>
            <family val="2"/>
          </rPr>
          <t xml:space="preserve">1 Ketua  Rp3.600.000 per bulan
</t>
        </r>
        <r>
          <rPr>
            <sz val="9"/>
            <color rgb="FF000000"/>
            <rFont val="Tahoma"/>
            <family val="2"/>
          </rPr>
          <t xml:space="preserve">2 Anggota  Rp2.400.000 per bulan
</t>
        </r>
        <r>
          <rPr>
            <sz val="9"/>
            <color rgb="FF000000"/>
            <rFont val="Tahoma"/>
            <family val="2"/>
          </rPr>
          <t xml:space="preserve">3 Asisten  Rp1.500.000 per bulan
</t>
        </r>
        <r>
          <rPr>
            <sz val="9"/>
            <color rgb="FF000000"/>
            <rFont val="Tahoma"/>
            <family val="2"/>
          </rPr>
          <t xml:space="preserve">4 Administrator  Rp820.000 per bulan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lpdp-user</author>
  </authors>
  <commentList>
    <comment ref="L15" authorId="0" shapeId="0" xr:uid="{53E5976C-369D-4A0D-AE95-E55AD61D0D2C}">
      <text>
        <r>
          <rPr>
            <b/>
            <sz val="9"/>
            <color rgb="FF000000"/>
            <rFont val="Tahoma"/>
            <family val="2"/>
          </rPr>
          <t xml:space="preserve">lpdp-user:
</t>
        </r>
        <r>
          <rPr>
            <sz val="9"/>
            <color rgb="FF000000"/>
            <rFont val="Tahoma"/>
            <family val="2"/>
          </rPr>
          <t xml:space="preserve">Besaran Pendanaan RISPRO untuk gaji dan/atau honorarium Pengusul RISPRO </t>
        </r>
        <r>
          <rPr>
            <b/>
            <sz val="9"/>
            <color rgb="FF000000"/>
            <rFont val="Tahoma"/>
            <family val="2"/>
          </rPr>
          <t>maksimal 30%</t>
        </r>
        <r>
          <rPr>
            <sz val="9"/>
            <color rgb="FF000000"/>
            <rFont val="Tahoma"/>
            <family val="2"/>
          </rPr>
          <t xml:space="preserve"> dari total pendanaan dan diatur dengan satuan biaya tertinggi sebagai berikut:
</t>
        </r>
        <r>
          <rPr>
            <sz val="9"/>
            <color rgb="FF000000"/>
            <rFont val="Tahoma"/>
            <family val="2"/>
          </rPr>
          <t xml:space="preserve">No. Uraian Satuan Biaya
</t>
        </r>
        <r>
          <rPr>
            <sz val="9"/>
            <color rgb="FF000000"/>
            <rFont val="Tahoma"/>
            <family val="2"/>
          </rPr>
          <t xml:space="preserve">1 Ketua  Rp3.600.000 per bulan
</t>
        </r>
        <r>
          <rPr>
            <sz val="9"/>
            <color rgb="FF000000"/>
            <rFont val="Tahoma"/>
            <family val="2"/>
          </rPr>
          <t xml:space="preserve">2 Anggota  Rp2.400.000 per bulan
</t>
        </r>
        <r>
          <rPr>
            <sz val="9"/>
            <color rgb="FF000000"/>
            <rFont val="Tahoma"/>
            <family val="2"/>
          </rPr>
          <t xml:space="preserve">3 Asisten  Rp1.500.000 per bulan
</t>
        </r>
        <r>
          <rPr>
            <sz val="9"/>
            <color rgb="FF000000"/>
            <rFont val="Tahoma"/>
            <family val="2"/>
          </rPr>
          <t xml:space="preserve">4 Administrator  Rp820.000 per bulan
</t>
        </r>
      </text>
    </comment>
  </commentList>
</comments>
</file>

<file path=xl/sharedStrings.xml><?xml version="1.0" encoding="utf-8"?>
<sst xmlns="http://schemas.openxmlformats.org/spreadsheetml/2006/main" count="424" uniqueCount="116">
  <si>
    <t>No</t>
  </si>
  <si>
    <t>kali</t>
  </si>
  <si>
    <t>Proporsi Pendanaan</t>
  </si>
  <si>
    <t>LPDP</t>
  </si>
  <si>
    <t>Mitra</t>
  </si>
  <si>
    <t>Tahun I</t>
  </si>
  <si>
    <t>Komponen Biaya Riset</t>
  </si>
  <si>
    <t>%</t>
  </si>
  <si>
    <t>Biaya Tidak Langsung</t>
  </si>
  <si>
    <t>Aktivitas C</t>
  </si>
  <si>
    <t>BIAYA LANGSUNG NON PERSONIL</t>
  </si>
  <si>
    <t>Gaji/ Upah/ Honorarirum</t>
  </si>
  <si>
    <t>B.1</t>
  </si>
  <si>
    <t>B.2</t>
  </si>
  <si>
    <t>Kegiatan A</t>
  </si>
  <si>
    <t>I.</t>
  </si>
  <si>
    <t>A.</t>
  </si>
  <si>
    <t>B.</t>
  </si>
  <si>
    <t>B.1.1</t>
  </si>
  <si>
    <t>B.1.2</t>
  </si>
  <si>
    <t>B.1.3</t>
  </si>
  <si>
    <t>B.2.1</t>
  </si>
  <si>
    <t>B.2.2</t>
  </si>
  <si>
    <t>B.2.3</t>
  </si>
  <si>
    <t>B.2.4</t>
  </si>
  <si>
    <t>Harga Satuan (Rp)</t>
  </si>
  <si>
    <t>Volume</t>
  </si>
  <si>
    <t>Satuan</t>
  </si>
  <si>
    <t>OB</t>
  </si>
  <si>
    <t>Frekuensi</t>
  </si>
  <si>
    <t>Pcs</t>
  </si>
  <si>
    <t>II.</t>
  </si>
  <si>
    <t>Sub Total II.A</t>
  </si>
  <si>
    <t>Sub Total II.B</t>
  </si>
  <si>
    <t>contoh : Monitoring Internal dari Institusi</t>
  </si>
  <si>
    <t>contoh : Evaluasi Mandiri oleh Internal Institusi</t>
  </si>
  <si>
    <t>contoh: honor reviewer internal</t>
  </si>
  <si>
    <t>contoh: perjalanan dinas reviewer internal</t>
  </si>
  <si>
    <t xml:space="preserve">contoh: snack rapat </t>
  </si>
  <si>
    <t>contoh: makan siang rapat</t>
  </si>
  <si>
    <t>TOTAL BIAYA (I + II)</t>
  </si>
  <si>
    <t>TOTAL I (BIAYA LANGSUNG) - Minimum 95% dari Total Biaya</t>
  </si>
  <si>
    <t>TOTAL II (BIAYA TIDAK LANGSUNG) - Maksimum 5 % dari Total Biaya</t>
  </si>
  <si>
    <t>BIAYA LANGSUNG - Minimum 95% dari Total Biaya</t>
  </si>
  <si>
    <t>BIAYA TIDAK LANGSUNG - Maksimum 5 % dari Total Biaya</t>
  </si>
  <si>
    <t>URAIAN BIAYA TIDAK LANGSUNG BERDASARKAN AKTIVITAS</t>
  </si>
  <si>
    <t>Judul Riset</t>
  </si>
  <si>
    <t xml:space="preserve">:  </t>
  </si>
  <si>
    <t>Total Usulan Waktu Pendanaan</t>
  </si>
  <si>
    <t>:  ... tahun</t>
  </si>
  <si>
    <t>TAHUN I</t>
  </si>
  <si>
    <t>Ketua Periset</t>
  </si>
  <si>
    <t>Asal Institusi</t>
  </si>
  <si>
    <t>TAHUN II</t>
  </si>
  <si>
    <t>TAHUN III</t>
  </si>
  <si>
    <t>Komponen Biaya Riset/
Aktivitas Riset/
Justifikasi Kebutuhan</t>
  </si>
  <si>
    <t>TOTAL PENDANAAN</t>
  </si>
  <si>
    <t>PROPORSI MITRA</t>
  </si>
  <si>
    <t>RINCIAN USULAN RAB</t>
  </si>
  <si>
    <t>REKAP PERSENTASE USULAN RAB - KONTRIBUSI MITRA</t>
  </si>
  <si>
    <t>Mitra Riset</t>
  </si>
  <si>
    <t>:</t>
  </si>
  <si>
    <t>Fokus/ Skema Riset</t>
  </si>
  <si>
    <t>Indikator A</t>
  </si>
  <si>
    <t>Barang Modal</t>
  </si>
  <si>
    <t>Jasa</t>
  </si>
  <si>
    <t>Total Sub Item</t>
  </si>
  <si>
    <t xml:space="preserve">dst . . . </t>
  </si>
  <si>
    <t>Total Sub Indikator</t>
  </si>
  <si>
    <t>Bahan Habis Pakai</t>
  </si>
  <si>
    <t>Focus Group Discussion</t>
  </si>
  <si>
    <t>Konsumsi</t>
  </si>
  <si>
    <t>Indikator B</t>
  </si>
  <si>
    <t>Indikator C</t>
  </si>
  <si>
    <t>B.3</t>
  </si>
  <si>
    <t>B.3.1</t>
  </si>
  <si>
    <t>B.3.2</t>
  </si>
  <si>
    <t>Sesuai dengan Pedoman Program RISPRO Invitasi Lembaga Pengelola Dana Pendidikan</t>
  </si>
  <si>
    <t>Harga Perkiraan Sementara/HPS
(link harga pasar/SBM)</t>
  </si>
  <si>
    <t>link</t>
  </si>
  <si>
    <t>dst</t>
  </si>
  <si>
    <t>Total Biaya Langsung Non Personil</t>
  </si>
  <si>
    <t xml:space="preserve">List Golongan Item sbb: </t>
  </si>
  <si>
    <t>Biaya Langsung Personil</t>
  </si>
  <si>
    <t>Biaya Langsung Non Personil</t>
  </si>
  <si>
    <t>Keterangan/Indikator Kinerja Riset/Luaran</t>
  </si>
  <si>
    <t>Ketua</t>
  </si>
  <si>
    <t>Anggota</t>
  </si>
  <si>
    <t>Asisten</t>
  </si>
  <si>
    <t>Administrator</t>
  </si>
  <si>
    <t>Nama lengkap + gelar</t>
  </si>
  <si>
    <t>Total Biaya Langsung Personil</t>
  </si>
  <si>
    <t>(misalnya: KTI Internasional Q3)</t>
  </si>
  <si>
    <t>(misalnya: Paten)</t>
  </si>
  <si>
    <t>(misalnya: Hak Cipta)</t>
  </si>
  <si>
    <t>Jumlah
(LPDP + Mitra)</t>
  </si>
  <si>
    <t>Focus Group Discussions
Barang Modal
Barang Habis Pakai
Perjalanan Dinas Dalam Negeri
Pembiayaan Publikasi Ilmiah Q1
Pembiayaan HKI
Focus Group Doscussions
Jasa
Konsumsi
Narasumber
Lainnya</t>
  </si>
  <si>
    <r>
      <t xml:space="preserve">Tuliskan </t>
    </r>
    <r>
      <rPr>
        <b/>
        <i/>
        <sz val="5"/>
        <rFont val="Arial"/>
        <family val="2"/>
      </rPr>
      <t xml:space="preserve">Indikator Kinerja Riset/Luaran </t>
    </r>
    <r>
      <rPr>
        <i/>
        <sz val="5"/>
        <rFont val="Arial"/>
        <family val="2"/>
      </rPr>
      <t>yang akan dihasilkan dari aktivitas tersebut</t>
    </r>
  </si>
  <si>
    <t>No.</t>
  </si>
  <si>
    <t>Keterangan</t>
  </si>
  <si>
    <t>Komponen</t>
  </si>
  <si>
    <t>Total</t>
  </si>
  <si>
    <r>
      <t xml:space="preserve">Hanya biaya untuk pelaksanaan monev yang dilaksanakan oleh internal lembaga, dengan rincian item: honor reviewer (maksimal 2 jam/judul), akomodasi (transport dan hotel jika ada), konsumsi.
</t>
    </r>
    <r>
      <rPr>
        <b/>
        <sz val="11"/>
        <color theme="1"/>
        <rFont val="Calibri"/>
        <family val="2"/>
        <scheme val="minor"/>
      </rPr>
      <t>Kolom Jumlah merupakan total dari kolom proporsi pendanaan LPDP dan Mitra (jika ada).</t>
    </r>
  </si>
  <si>
    <r>
      <t xml:space="preserve">Pengisian Komponen </t>
    </r>
    <r>
      <rPr>
        <b/>
        <sz val="11"/>
        <color theme="1"/>
        <rFont val="Calibri"/>
        <family val="2"/>
        <scheme val="minor"/>
      </rPr>
      <t>dipisah berdasarkan indikator kinerja yang akan dihasilkan</t>
    </r>
    <r>
      <rPr>
        <sz val="11"/>
        <color theme="1"/>
        <rFont val="Calibri"/>
        <family val="2"/>
        <scheme val="minor"/>
      </rPr>
      <t xml:space="preserve">.
Misalnya:
- Indikator 1: 1 buah KTI Internasional minimal Q3 under review.
Komponen anggaran: Belanja Modal, Jasa, Perjalanan Dinas di Kota A, FGD, Narasumber.
- Indikator 2: 1 buah Paten minimal terdaftar.
Komponen anggaran: Konsumsi FGD, Belanja Bahan Habis Pakai, Perjalanan Dinas di Kota B.
- dan seterusnya.
</t>
    </r>
    <r>
      <rPr>
        <b/>
        <sz val="11"/>
        <color theme="1"/>
        <rFont val="Calibri"/>
        <family val="2"/>
        <scheme val="minor"/>
      </rPr>
      <t>Kolom Jumlah merupakan total dari kolom proporsi pendanaan LPDP dan Mitra (jika ada).</t>
    </r>
  </si>
  <si>
    <t>Standar Biaya dan Acuan Komponen Pedoman</t>
  </si>
  <si>
    <r>
      <t xml:space="preserve">- Standar Biaya Masukan Kementerian Keuangan Tahun Berjalan
- Standar Biaya Keluaran Kementerian Keuangan Tahun Berjalan
- Peraturan Direktur Utama LPDP tentang Satuan Biaya Insentif bagi Tim Periset Penerima Pendanaan Riset 
- </t>
    </r>
    <r>
      <rPr>
        <b/>
        <sz val="11"/>
        <color theme="1"/>
        <rFont val="Calibri"/>
        <family val="2"/>
        <scheme val="minor"/>
      </rPr>
      <t>Mohon perhatikan acuan komponen pendanaan pada Pedoman RIIM Kompetisi terbaru (dapat didownload melalui tombol Download Juknis pada menu program RIIM Kompetisi)</t>
    </r>
  </si>
  <si>
    <t>TAHUN 2</t>
  </si>
  <si>
    <t>TAHUN 3</t>
  </si>
  <si>
    <t>Ketentuan Perpajakan</t>
  </si>
  <si>
    <r>
      <rPr>
        <b/>
        <sz val="11"/>
        <color theme="1"/>
        <rFont val="Calibri"/>
        <family val="2"/>
        <scheme val="minor"/>
      </rPr>
      <t>- Mohon perhatikan kembali ketentuan perpajakan lembaga, apakah dikenakan pajak PPN 11% dan/atau PPh23 2%</t>
    </r>
    <r>
      <rPr>
        <sz val="11"/>
        <color theme="1"/>
        <rFont val="Calibri"/>
        <family val="2"/>
        <scheme val="minor"/>
      </rPr>
      <t xml:space="preserve">
-Apabila lembaga memiliki kewajiban perpajakan tersebut, maka dana riset yang disalurkan akan </t>
    </r>
    <r>
      <rPr>
        <b/>
        <sz val="11"/>
        <color theme="1"/>
        <rFont val="Calibri"/>
        <family val="2"/>
        <scheme val="minor"/>
      </rPr>
      <t>dikenakan pemotongan sesuai ketentuan pajak yang berlaku</t>
    </r>
    <r>
      <rPr>
        <sz val="11"/>
        <color theme="1"/>
        <rFont val="Calibri"/>
        <family val="2"/>
        <scheme val="minor"/>
      </rPr>
      <t xml:space="preserve">.
-Pemotongan pajak atas penyaluran dana riset tersebut berada </t>
    </r>
    <r>
      <rPr>
        <b/>
        <sz val="11"/>
        <color theme="1"/>
        <rFont val="Calibri"/>
        <family val="2"/>
        <scheme val="minor"/>
      </rPr>
      <t>di luar ketentuan pemotongan pajak atas belanja komponen riset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Maka pelaksanaan pembelian komponen riset, baik barang maupun jasa, tetap mengikuti ketentuan perpajakan yang berlaku sesuai jenis belanjanya.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Usulan biaya yang diajukan sudah termasuk pajak.</t>
    </r>
  </si>
  <si>
    <r>
      <t xml:space="preserve">Merupakan Pendanaan RISPRO untuk gaji dan/atau honorarium Pengusul RISPRO maksimal 25% dari total pendanaan dan diatur dengan </t>
    </r>
    <r>
      <rPr>
        <b/>
        <sz val="11"/>
        <color theme="1"/>
        <rFont val="Calibri"/>
        <family val="2"/>
        <scheme val="minor"/>
      </rPr>
      <t>satuan biaya tertinggi</t>
    </r>
    <r>
      <rPr>
        <sz val="11"/>
        <color theme="1"/>
        <rFont val="Calibri"/>
        <family val="2"/>
        <scheme val="minor"/>
      </rPr>
      <t xml:space="preserve"> sebagai berikut:
No. Uraian Satuan Biaya
1 Ketua  Rp3.600.000 per bulan
2 Anggota  Rp2.400.000 per bulan
3 Asisten  Rp1.500.000 per bulan
4 Administrator  Rp820.000 per bulan
</t>
    </r>
    <r>
      <rPr>
        <b/>
        <sz val="11"/>
        <color theme="1"/>
        <rFont val="Calibri"/>
        <family val="2"/>
        <scheme val="minor"/>
      </rPr>
      <t>Kolom Jumlah merupakan total dari kolom proporsi pendanaan LPDP dan Mitra (jika ada).</t>
    </r>
  </si>
  <si>
    <r>
      <t>Biaya Langsung Personil
(</t>
    </r>
    <r>
      <rPr>
        <b/>
        <sz val="11"/>
        <color theme="1"/>
        <rFont val="Calibri"/>
        <family val="2"/>
        <scheme val="minor"/>
      </rPr>
      <t>maksimal 25% dari total pendanaan</t>
    </r>
    <r>
      <rPr>
        <sz val="11"/>
        <color theme="1"/>
        <rFont val="Calibri"/>
        <family val="2"/>
        <scheme val="minor"/>
      </rPr>
      <t>)</t>
    </r>
  </si>
  <si>
    <r>
      <t>Biaya Langsung Non Personil
(</t>
    </r>
    <r>
      <rPr>
        <b/>
        <sz val="11"/>
        <color theme="1"/>
        <rFont val="Calibri"/>
        <family val="2"/>
        <scheme val="minor"/>
      </rPr>
      <t>minimal 70% dari total pendanaan</t>
    </r>
    <r>
      <rPr>
        <sz val="11"/>
        <color theme="1"/>
        <rFont val="Calibri"/>
        <family val="2"/>
        <scheme val="minor"/>
      </rPr>
      <t>)</t>
    </r>
  </si>
  <si>
    <r>
      <t>Biaya Tidak Langsung
(</t>
    </r>
    <r>
      <rPr>
        <b/>
        <sz val="11"/>
        <color theme="1"/>
        <rFont val="Calibri"/>
        <family val="2"/>
        <scheme val="minor"/>
      </rPr>
      <t>maksimal 5% dari total pendanaan</t>
    </r>
    <r>
      <rPr>
        <sz val="11"/>
        <color theme="1"/>
        <rFont val="Calibri"/>
        <family val="2"/>
        <scheme val="minor"/>
      </rPr>
      <t>)</t>
    </r>
  </si>
  <si>
    <t>TAHUN 1</t>
  </si>
  <si>
    <t>BIAYA LANGSUNG PERSONIL - Maksimum 25% dari total Pendanaan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</si>
</sst>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Rp&quot;* #,##0_);_(&quot;Rp&quot;* \(#,##0\);_(&quot;Rp&quot;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* #,##0_);_(* \(#,##0\);_(* &quot;-&quot;??_);_(@_)"/>
    <numFmt numFmtId="168" formatCode="0.0%"/>
    <numFmt numFmtId="169" formatCode="#,##0.0_);\(#,##0.0\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ahoma"/>
      <family val="2"/>
    </font>
    <font>
      <sz val="12"/>
      <color theme="1"/>
      <name val="Arial Narrow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  <font>
      <i/>
      <sz val="5"/>
      <name val="Arial"/>
      <family val="2"/>
    </font>
    <font>
      <b/>
      <i/>
      <sz val="5"/>
      <name val="Arial"/>
      <family val="2"/>
    </font>
    <font>
      <i/>
      <sz val="8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3FDF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06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6" fillId="0" borderId="0" applyNumberFormat="0" applyFont="0" applyFill="0" applyBorder="0" applyAlignment="0" applyProtection="0">
      <alignment vertical="top"/>
    </xf>
    <xf numFmtId="169" fontId="7" fillId="0" borderId="0" applyFont="0" applyFill="0" applyBorder="0" applyAlignment="0"/>
  </cellStyleXfs>
  <cellXfs count="196">
    <xf numFmtId="0" fontId="0" fillId="0" borderId="0" xfId="0"/>
    <xf numFmtId="0" fontId="4" fillId="0" borderId="0" xfId="0" applyFont="1"/>
    <xf numFmtId="3" fontId="4" fillId="0" borderId="0" xfId="3" applyNumberFormat="1" applyFont="1" applyAlignment="1">
      <alignment horizontal="right"/>
    </xf>
    <xf numFmtId="4" fontId="4" fillId="0" borderId="0" xfId="3" applyNumberFormat="1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67" fontId="0" fillId="0" borderId="0" xfId="2" applyNumberFormat="1" applyFont="1"/>
    <xf numFmtId="9" fontId="0" fillId="0" borderId="0" xfId="4" applyFont="1"/>
    <xf numFmtId="168" fontId="3" fillId="0" borderId="1" xfId="4" applyNumberFormat="1" applyFont="1" applyBorder="1" applyAlignment="1">
      <alignment vertical="top" wrapText="1"/>
    </xf>
    <xf numFmtId="3" fontId="4" fillId="0" borderId="0" xfId="3" applyNumberFormat="1" applyFont="1" applyFill="1" applyAlignment="1">
      <alignment horizontal="right"/>
    </xf>
    <xf numFmtId="0" fontId="5" fillId="5" borderId="1" xfId="0" applyFont="1" applyFill="1" applyBorder="1" applyAlignment="1">
      <alignment horizontal="center" vertical="center"/>
    </xf>
    <xf numFmtId="168" fontId="5" fillId="5" borderId="1" xfId="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3" fillId="0" borderId="1" xfId="2" applyNumberFormat="1" applyFont="1" applyBorder="1" applyAlignment="1">
      <alignment vertical="top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5" borderId="2" xfId="2" applyNumberFormat="1" applyFont="1" applyFill="1" applyBorder="1" applyAlignment="1">
      <alignment horizontal="center" vertical="center"/>
    </xf>
    <xf numFmtId="164" fontId="0" fillId="0" borderId="0" xfId="2" applyNumberFormat="1" applyFont="1"/>
    <xf numFmtId="167" fontId="5" fillId="6" borderId="1" xfId="2" applyNumberFormat="1" applyFont="1" applyFill="1" applyBorder="1" applyAlignment="1">
      <alignment horizontal="center" vertical="center"/>
    </xf>
    <xf numFmtId="9" fontId="5" fillId="6" borderId="1" xfId="4" applyFont="1" applyFill="1" applyBorder="1" applyAlignment="1">
      <alignment horizontal="center" vertical="center"/>
    </xf>
    <xf numFmtId="167" fontId="5" fillId="9" borderId="1" xfId="2" applyNumberFormat="1" applyFont="1" applyFill="1" applyBorder="1" applyAlignment="1">
      <alignment horizontal="center" vertical="center"/>
    </xf>
    <xf numFmtId="9" fontId="5" fillId="9" borderId="1" xfId="4" applyFont="1" applyFill="1" applyBorder="1" applyAlignment="1">
      <alignment horizontal="center" vertical="center"/>
    </xf>
    <xf numFmtId="167" fontId="5" fillId="8" borderId="2" xfId="2" applyNumberFormat="1" applyFont="1" applyFill="1" applyBorder="1" applyAlignment="1">
      <alignment horizontal="center" vertical="center" wrapText="1"/>
    </xf>
    <xf numFmtId="9" fontId="5" fillId="7" borderId="1" xfId="4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7" fontId="5" fillId="6" borderId="1" xfId="2" applyNumberFormat="1" applyFont="1" applyFill="1" applyBorder="1" applyAlignment="1">
      <alignment horizontal="center" vertical="center" wrapText="1"/>
    </xf>
    <xf numFmtId="9" fontId="5" fillId="6" borderId="1" xfId="4" applyFont="1" applyFill="1" applyBorder="1" applyAlignment="1">
      <alignment horizontal="center" vertical="center" wrapText="1"/>
    </xf>
    <xf numFmtId="167" fontId="5" fillId="9" borderId="1" xfId="2" applyNumberFormat="1" applyFont="1" applyFill="1" applyBorder="1" applyAlignment="1">
      <alignment horizontal="center" vertical="center" wrapText="1"/>
    </xf>
    <xf numFmtId="9" fontId="5" fillId="9" borderId="1" xfId="4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15" fillId="0" borderId="0" xfId="3" applyNumberFormat="1" applyFont="1" applyFill="1" applyAlignment="1">
      <alignment horizontal="right"/>
    </xf>
    <xf numFmtId="3" fontId="15" fillId="0" borderId="0" xfId="3" applyNumberFormat="1" applyFont="1" applyAlignment="1">
      <alignment horizontal="right"/>
    </xf>
    <xf numFmtId="4" fontId="15" fillId="0" borderId="0" xfId="3" applyNumberFormat="1" applyFont="1"/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3" fontId="18" fillId="4" borderId="2" xfId="3" applyNumberFormat="1" applyFont="1" applyFill="1" applyBorder="1" applyAlignment="1">
      <alignment horizontal="center" vertical="center"/>
    </xf>
    <xf numFmtId="3" fontId="18" fillId="4" borderId="1" xfId="3" applyNumberFormat="1" applyFont="1" applyFill="1" applyBorder="1" applyAlignment="1">
      <alignment horizontal="center" vertical="center"/>
    </xf>
    <xf numFmtId="0" fontId="19" fillId="10" borderId="8" xfId="1" applyFont="1" applyFill="1" applyBorder="1" applyAlignment="1">
      <alignment horizontal="center" vertical="center"/>
    </xf>
    <xf numFmtId="0" fontId="19" fillId="10" borderId="3" xfId="1" applyFont="1" applyFill="1" applyBorder="1" applyAlignment="1">
      <alignment horizontal="left" vertical="center"/>
    </xf>
    <xf numFmtId="0" fontId="15" fillId="0" borderId="1" xfId="0" applyFont="1" applyBorder="1"/>
    <xf numFmtId="0" fontId="15" fillId="0" borderId="15" xfId="0" applyFont="1" applyBorder="1"/>
    <xf numFmtId="0" fontId="18" fillId="8" borderId="8" xfId="1" applyFont="1" applyFill="1" applyBorder="1" applyAlignment="1">
      <alignment horizontal="left" vertical="center"/>
    </xf>
    <xf numFmtId="0" fontId="18" fillId="8" borderId="3" xfId="1" applyFont="1" applyFill="1" applyBorder="1" applyAlignment="1">
      <alignment vertical="center"/>
    </xf>
    <xf numFmtId="0" fontId="18" fillId="3" borderId="2" xfId="1" applyFont="1" applyFill="1" applyBorder="1" applyAlignment="1">
      <alignment horizontal="left" vertical="center"/>
    </xf>
    <xf numFmtId="0" fontId="18" fillId="3" borderId="3" xfId="1" applyFont="1" applyFill="1" applyBorder="1" applyAlignment="1">
      <alignment vertical="center"/>
    </xf>
    <xf numFmtId="0" fontId="18" fillId="0" borderId="5" xfId="1" applyFont="1" applyBorder="1" applyAlignment="1">
      <alignment vertical="center"/>
    </xf>
    <xf numFmtId="0" fontId="20" fillId="0" borderId="1" xfId="1" applyFont="1" applyBorder="1" applyAlignment="1">
      <alignment horizontal="center" vertical="center"/>
    </xf>
    <xf numFmtId="0" fontId="20" fillId="0" borderId="1" xfId="1" applyFont="1" applyBorder="1"/>
    <xf numFmtId="3" fontId="20" fillId="0" borderId="1" xfId="3" applyNumberFormat="1" applyFont="1" applyFill="1" applyBorder="1" applyAlignment="1">
      <alignment horizontal="center" vertical="center"/>
    </xf>
    <xf numFmtId="3" fontId="20" fillId="0" borderId="1" xfId="3" applyNumberFormat="1" applyFont="1" applyBorder="1" applyAlignment="1">
      <alignment horizontal="center" vertical="center"/>
    </xf>
    <xf numFmtId="3" fontId="20" fillId="0" borderId="2" xfId="3" applyNumberFormat="1" applyFont="1" applyBorder="1" applyAlignment="1">
      <alignment horizontal="center" vertical="center"/>
    </xf>
    <xf numFmtId="0" fontId="18" fillId="0" borderId="6" xfId="1" applyFont="1" applyBorder="1" applyAlignment="1">
      <alignment vertical="center"/>
    </xf>
    <xf numFmtId="0" fontId="18" fillId="0" borderId="7" xfId="1" applyFont="1" applyBorder="1" applyAlignment="1">
      <alignment vertical="center"/>
    </xf>
    <xf numFmtId="0" fontId="18" fillId="8" borderId="2" xfId="1" applyFont="1" applyFill="1" applyBorder="1" applyAlignment="1">
      <alignment horizontal="left" vertical="center"/>
    </xf>
    <xf numFmtId="0" fontId="18" fillId="8" borderId="3" xfId="1" applyFont="1" applyFill="1" applyBorder="1" applyAlignment="1">
      <alignment horizontal="left" vertical="center"/>
    </xf>
    <xf numFmtId="3" fontId="18" fillId="8" borderId="1" xfId="3" applyNumberFormat="1" applyFont="1" applyFill="1" applyBorder="1" applyAlignment="1">
      <alignment horizontal="center" vertical="center"/>
    </xf>
    <xf numFmtId="3" fontId="18" fillId="8" borderId="2" xfId="3" applyNumberFormat="1" applyFont="1" applyFill="1" applyBorder="1" applyAlignment="1">
      <alignment horizontal="center" vertical="center"/>
    </xf>
    <xf numFmtId="3" fontId="15" fillId="0" borderId="0" xfId="0" applyNumberFormat="1" applyFont="1"/>
    <xf numFmtId="0" fontId="18" fillId="8" borderId="3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left" vertical="center"/>
    </xf>
    <xf numFmtId="0" fontId="18" fillId="3" borderId="2" xfId="1" applyFont="1" applyFill="1" applyBorder="1" applyAlignment="1">
      <alignment vertical="center"/>
    </xf>
    <xf numFmtId="0" fontId="18" fillId="3" borderId="3" xfId="1" applyFont="1" applyFill="1" applyBorder="1" applyAlignment="1">
      <alignment horizontal="center" vertical="center"/>
    </xf>
    <xf numFmtId="0" fontId="21" fillId="0" borderId="1" xfId="0" applyFont="1" applyBorder="1"/>
    <xf numFmtId="0" fontId="18" fillId="14" borderId="1" xfId="1" applyFont="1" applyFill="1" applyBorder="1" applyAlignment="1">
      <alignment horizontal="left" vertical="center"/>
    </xf>
    <xf numFmtId="0" fontId="18" fillId="14" borderId="2" xfId="1" applyFont="1" applyFill="1" applyBorder="1" applyAlignment="1">
      <alignment vertical="center"/>
    </xf>
    <xf numFmtId="0" fontId="18" fillId="14" borderId="3" xfId="1" applyFont="1" applyFill="1" applyBorder="1" applyAlignment="1">
      <alignment vertical="center"/>
    </xf>
    <xf numFmtId="0" fontId="18" fillId="14" borderId="3" xfId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8" fillId="11" borderId="2" xfId="1" applyFont="1" applyFill="1" applyBorder="1" applyAlignment="1">
      <alignment horizontal="left" vertical="center"/>
    </xf>
    <xf numFmtId="0" fontId="18" fillId="11" borderId="3" xfId="1" applyFont="1" applyFill="1" applyBorder="1" applyAlignment="1">
      <alignment horizontal="left" vertical="center"/>
    </xf>
    <xf numFmtId="0" fontId="15" fillId="11" borderId="3" xfId="0" applyFont="1" applyFill="1" applyBorder="1"/>
    <xf numFmtId="0" fontId="20" fillId="11" borderId="4" xfId="1" applyFont="1" applyFill="1" applyBorder="1" applyAlignment="1">
      <alignment horizontal="center" vertical="center"/>
    </xf>
    <xf numFmtId="3" fontId="18" fillId="11" borderId="4" xfId="3" applyNumberFormat="1" applyFont="1" applyFill="1" applyBorder="1" applyAlignment="1">
      <alignment horizontal="center" vertical="center"/>
    </xf>
    <xf numFmtId="3" fontId="18" fillId="11" borderId="1" xfId="3" applyNumberFormat="1" applyFont="1" applyFill="1" applyBorder="1" applyAlignment="1">
      <alignment horizontal="center" vertical="center"/>
    </xf>
    <xf numFmtId="3" fontId="18" fillId="11" borderId="2" xfId="3" applyNumberFormat="1" applyFont="1" applyFill="1" applyBorder="1" applyAlignment="1">
      <alignment horizontal="center" vertical="center"/>
    </xf>
    <xf numFmtId="0" fontId="18" fillId="11" borderId="9" xfId="1" applyFont="1" applyFill="1" applyBorder="1" applyAlignment="1">
      <alignment horizontal="left" vertical="center"/>
    </xf>
    <xf numFmtId="0" fontId="18" fillId="15" borderId="3" xfId="1" applyFont="1" applyFill="1" applyBorder="1" applyAlignment="1">
      <alignment horizontal="left" vertical="center"/>
    </xf>
    <xf numFmtId="0" fontId="15" fillId="15" borderId="3" xfId="0" applyFont="1" applyFill="1" applyBorder="1"/>
    <xf numFmtId="0" fontId="20" fillId="15" borderId="4" xfId="1" applyFont="1" applyFill="1" applyBorder="1" applyAlignment="1">
      <alignment horizontal="center" vertical="center"/>
    </xf>
    <xf numFmtId="3" fontId="18" fillId="15" borderId="4" xfId="3" applyNumberFormat="1" applyFont="1" applyFill="1" applyBorder="1" applyAlignment="1">
      <alignment horizontal="center" vertical="center"/>
    </xf>
    <xf numFmtId="0" fontId="18" fillId="9" borderId="1" xfId="1" applyFont="1" applyFill="1" applyBorder="1" applyAlignment="1">
      <alignment horizontal="left" vertical="center"/>
    </xf>
    <xf numFmtId="0" fontId="18" fillId="9" borderId="13" xfId="1" applyFont="1" applyFill="1" applyBorder="1" applyAlignment="1">
      <alignment horizontal="left" vertical="center"/>
    </xf>
    <xf numFmtId="0" fontId="18" fillId="9" borderId="11" xfId="1" applyFont="1" applyFill="1" applyBorder="1" applyAlignment="1">
      <alignment horizontal="left" vertical="center"/>
    </xf>
    <xf numFmtId="0" fontId="18" fillId="9" borderId="3" xfId="1" applyFont="1" applyFill="1" applyBorder="1" applyAlignment="1">
      <alignment horizontal="left" vertical="center"/>
    </xf>
    <xf numFmtId="0" fontId="15" fillId="9" borderId="3" xfId="0" applyFont="1" applyFill="1" applyBorder="1"/>
    <xf numFmtId="0" fontId="20" fillId="9" borderId="4" xfId="1" applyFont="1" applyFill="1" applyBorder="1" applyAlignment="1">
      <alignment horizontal="center" vertical="center"/>
    </xf>
    <xf numFmtId="3" fontId="18" fillId="9" borderId="4" xfId="3" applyNumberFormat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vertical="center"/>
    </xf>
    <xf numFmtId="0" fontId="18" fillId="8" borderId="4" xfId="1" applyFont="1" applyFill="1" applyBorder="1" applyAlignment="1">
      <alignment horizontal="left" vertical="center"/>
    </xf>
    <xf numFmtId="3" fontId="18" fillId="8" borderId="10" xfId="3" applyNumberFormat="1" applyFont="1" applyFill="1" applyBorder="1" applyAlignment="1">
      <alignment horizontal="center" vertical="center"/>
    </xf>
    <xf numFmtId="0" fontId="19" fillId="12" borderId="8" xfId="1" applyFont="1" applyFill="1" applyBorder="1" applyAlignment="1">
      <alignment horizontal="left" vertical="center"/>
    </xf>
    <xf numFmtId="0" fontId="19" fillId="12" borderId="13" xfId="1" applyFont="1" applyFill="1" applyBorder="1" applyAlignment="1">
      <alignment vertical="center"/>
    </xf>
    <xf numFmtId="0" fontId="19" fillId="12" borderId="3" xfId="1" applyFont="1" applyFill="1" applyBorder="1" applyAlignment="1">
      <alignment horizontal="center" vertical="center"/>
    </xf>
    <xf numFmtId="0" fontId="19" fillId="12" borderId="8" xfId="1" applyFont="1" applyFill="1" applyBorder="1" applyAlignment="1">
      <alignment horizontal="center" vertical="center"/>
    </xf>
    <xf numFmtId="0" fontId="18" fillId="7" borderId="1" xfId="1" applyFont="1" applyFill="1" applyBorder="1" applyAlignment="1">
      <alignment horizontal="left" vertical="center"/>
    </xf>
    <xf numFmtId="0" fontId="23" fillId="7" borderId="1" xfId="1" applyFont="1" applyFill="1" applyBorder="1" applyAlignment="1">
      <alignment horizontal="left" vertical="center"/>
    </xf>
    <xf numFmtId="0" fontId="24" fillId="7" borderId="1" xfId="1" applyFont="1" applyFill="1" applyBorder="1" applyAlignment="1">
      <alignment horizontal="center" vertical="center" wrapText="1"/>
    </xf>
    <xf numFmtId="0" fontId="18" fillId="7" borderId="1" xfId="1" applyFont="1" applyFill="1" applyBorder="1" applyAlignment="1">
      <alignment horizontal="center" vertical="center"/>
    </xf>
    <xf numFmtId="0" fontId="18" fillId="7" borderId="2" xfId="1" applyFont="1" applyFill="1" applyBorder="1" applyAlignment="1">
      <alignment horizontal="center" vertical="center"/>
    </xf>
    <xf numFmtId="0" fontId="26" fillId="0" borderId="1" xfId="1" applyFont="1" applyBorder="1" applyAlignment="1">
      <alignment horizontal="left" vertical="center"/>
    </xf>
    <xf numFmtId="0" fontId="20" fillId="0" borderId="5" xfId="1" applyFont="1" applyBorder="1" applyAlignment="1">
      <alignment horizontal="center" vertical="center"/>
    </xf>
    <xf numFmtId="0" fontId="26" fillId="0" borderId="5" xfId="1" applyFont="1" applyBorder="1" applyAlignment="1">
      <alignment horizontal="left" vertical="center"/>
    </xf>
    <xf numFmtId="0" fontId="15" fillId="0" borderId="5" xfId="0" applyFont="1" applyBorder="1"/>
    <xf numFmtId="0" fontId="18" fillId="7" borderId="8" xfId="1" applyFont="1" applyFill="1" applyBorder="1" applyAlignment="1">
      <alignment horizontal="left" vertical="center"/>
    </xf>
    <xf numFmtId="0" fontId="23" fillId="7" borderId="7" xfId="1" applyFont="1" applyFill="1" applyBorder="1" applyAlignment="1">
      <alignment horizontal="left" vertical="center" wrapText="1"/>
    </xf>
    <xf numFmtId="0" fontId="18" fillId="7" borderId="13" xfId="1" applyFont="1" applyFill="1" applyBorder="1" applyAlignment="1">
      <alignment horizontal="left" vertical="center"/>
    </xf>
    <xf numFmtId="0" fontId="18" fillId="7" borderId="3" xfId="1" applyFont="1" applyFill="1" applyBorder="1" applyAlignment="1">
      <alignment horizontal="left" vertical="center"/>
    </xf>
    <xf numFmtId="0" fontId="18" fillId="7" borderId="3" xfId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vertical="top" wrapText="1"/>
    </xf>
    <xf numFmtId="0" fontId="20" fillId="0" borderId="7" xfId="1" applyFont="1" applyBorder="1" applyAlignment="1">
      <alignment horizontal="center" vertical="center"/>
    </xf>
    <xf numFmtId="0" fontId="15" fillId="2" borderId="6" xfId="0" applyFont="1" applyFill="1" applyBorder="1" applyAlignment="1">
      <alignment vertical="top" wrapText="1"/>
    </xf>
    <xf numFmtId="0" fontId="18" fillId="11" borderId="4" xfId="1" applyFont="1" applyFill="1" applyBorder="1" applyAlignment="1">
      <alignment horizontal="left" vertical="center"/>
    </xf>
    <xf numFmtId="0" fontId="19" fillId="10" borderId="2" xfId="1" applyFont="1" applyFill="1" applyBorder="1" applyAlignment="1">
      <alignment vertical="center"/>
    </xf>
    <xf numFmtId="0" fontId="19" fillId="10" borderId="3" xfId="1" applyFont="1" applyFill="1" applyBorder="1" applyAlignment="1">
      <alignment vertical="center"/>
    </xf>
    <xf numFmtId="0" fontId="19" fillId="10" borderId="4" xfId="1" applyFont="1" applyFill="1" applyBorder="1" applyAlignment="1">
      <alignment horizontal="left" vertical="center"/>
    </xf>
    <xf numFmtId="3" fontId="19" fillId="10" borderId="1" xfId="3" applyNumberFormat="1" applyFont="1" applyFill="1" applyBorder="1" applyAlignment="1">
      <alignment horizontal="center" vertical="center"/>
    </xf>
    <xf numFmtId="3" fontId="19" fillId="10" borderId="2" xfId="3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/>
    <xf numFmtId="0" fontId="16" fillId="0" borderId="1" xfId="0" applyFont="1" applyBorder="1"/>
    <xf numFmtId="0" fontId="22" fillId="3" borderId="1" xfId="0" applyFont="1" applyFill="1" applyBorder="1" applyAlignment="1">
      <alignment wrapText="1"/>
    </xf>
    <xf numFmtId="0" fontId="28" fillId="3" borderId="3" xfId="1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vertical="top"/>
    </xf>
    <xf numFmtId="0" fontId="29" fillId="9" borderId="1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vertical="top"/>
    </xf>
    <xf numFmtId="0" fontId="18" fillId="15" borderId="2" xfId="1" applyFont="1" applyFill="1" applyBorder="1" applyAlignment="1">
      <alignment horizontal="center" vertical="center"/>
    </xf>
    <xf numFmtId="0" fontId="18" fillId="15" borderId="4" xfId="1" applyFont="1" applyFill="1" applyBorder="1" applyAlignment="1">
      <alignment horizontal="center" vertical="center"/>
    </xf>
    <xf numFmtId="0" fontId="18" fillId="0" borderId="5" xfId="1" applyFont="1" applyBorder="1" applyAlignment="1">
      <alignment horizontal="left" vertical="center"/>
    </xf>
    <xf numFmtId="0" fontId="18" fillId="0" borderId="6" xfId="1" applyFont="1" applyBorder="1" applyAlignment="1">
      <alignment horizontal="left" vertical="center"/>
    </xf>
    <xf numFmtId="0" fontId="18" fillId="0" borderId="8" xfId="1" applyFont="1" applyBorder="1" applyAlignment="1">
      <alignment horizontal="left" vertical="center"/>
    </xf>
    <xf numFmtId="0" fontId="18" fillId="0" borderId="5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8" fillId="0" borderId="7" xfId="1" applyFont="1" applyBorder="1" applyAlignment="1">
      <alignment horizontal="left" vertical="center"/>
    </xf>
    <xf numFmtId="0" fontId="18" fillId="4" borderId="5" xfId="1" applyFont="1" applyFill="1" applyBorder="1" applyAlignment="1">
      <alignment horizontal="center" vertical="center" wrapText="1"/>
    </xf>
    <xf numFmtId="0" fontId="18" fillId="4" borderId="6" xfId="1" applyFont="1" applyFill="1" applyBorder="1" applyAlignment="1">
      <alignment horizontal="center" vertical="center" wrapText="1"/>
    </xf>
    <xf numFmtId="0" fontId="18" fillId="4" borderId="7" xfId="1" applyFont="1" applyFill="1" applyBorder="1" applyAlignment="1">
      <alignment horizontal="center" vertical="center" wrapText="1"/>
    </xf>
    <xf numFmtId="0" fontId="18" fillId="4" borderId="5" xfId="1" applyFont="1" applyFill="1" applyBorder="1" applyAlignment="1">
      <alignment horizontal="center" vertical="center"/>
    </xf>
    <xf numFmtId="0" fontId="18" fillId="4" borderId="6" xfId="1" applyFont="1" applyFill="1" applyBorder="1" applyAlignment="1">
      <alignment horizontal="center" vertical="center"/>
    </xf>
    <xf numFmtId="0" fontId="18" fillId="4" borderId="7" xfId="1" applyFont="1" applyFill="1" applyBorder="1" applyAlignment="1">
      <alignment horizontal="center" vertical="center"/>
    </xf>
    <xf numFmtId="3" fontId="18" fillId="4" borderId="5" xfId="3" applyNumberFormat="1" applyFont="1" applyFill="1" applyBorder="1" applyAlignment="1">
      <alignment horizontal="center" vertical="center" wrapText="1"/>
    </xf>
    <xf numFmtId="3" fontId="18" fillId="4" borderId="6" xfId="3" applyNumberFormat="1" applyFont="1" applyFill="1" applyBorder="1" applyAlignment="1">
      <alignment horizontal="center" vertical="center"/>
    </xf>
    <xf numFmtId="3" fontId="18" fillId="4" borderId="7" xfId="3" applyNumberFormat="1" applyFont="1" applyFill="1" applyBorder="1" applyAlignment="1">
      <alignment horizontal="center" vertical="center"/>
    </xf>
    <xf numFmtId="3" fontId="18" fillId="4" borderId="2" xfId="3" applyNumberFormat="1" applyFont="1" applyFill="1" applyBorder="1" applyAlignment="1">
      <alignment horizontal="center" vertical="center"/>
    </xf>
    <xf numFmtId="3" fontId="18" fillId="4" borderId="4" xfId="3" applyNumberFormat="1" applyFont="1" applyFill="1" applyBorder="1" applyAlignment="1">
      <alignment horizontal="center" vertical="center"/>
    </xf>
    <xf numFmtId="0" fontId="20" fillId="0" borderId="9" xfId="1" applyFont="1" applyBorder="1" applyAlignment="1">
      <alignment horizontal="left" vertical="center"/>
    </xf>
    <xf numFmtId="0" fontId="20" fillId="0" borderId="15" xfId="1" applyFont="1" applyBorder="1" applyAlignment="1">
      <alignment horizontal="left" vertical="center"/>
    </xf>
    <xf numFmtId="0" fontId="19" fillId="10" borderId="3" xfId="1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4" borderId="9" xfId="1" applyFont="1" applyFill="1" applyBorder="1" applyAlignment="1">
      <alignment horizontal="center" vertical="center"/>
    </xf>
    <xf numFmtId="0" fontId="18" fillId="4" borderId="12" xfId="1" applyFont="1" applyFill="1" applyBorder="1" applyAlignment="1">
      <alignment horizontal="center" vertical="center"/>
    </xf>
    <xf numFmtId="0" fontId="18" fillId="4" borderId="10" xfId="1" applyFont="1" applyFill="1" applyBorder="1" applyAlignment="1">
      <alignment horizontal="center" vertical="center"/>
    </xf>
    <xf numFmtId="0" fontId="18" fillId="4" borderId="15" xfId="1" applyFont="1" applyFill="1" applyBorder="1" applyAlignment="1">
      <alignment horizontal="center" vertical="center"/>
    </xf>
    <xf numFmtId="0" fontId="18" fillId="4" borderId="0" xfId="1" applyFont="1" applyFill="1" applyAlignment="1">
      <alignment horizontal="center" vertical="center"/>
    </xf>
    <xf numFmtId="0" fontId="18" fillId="4" borderId="14" xfId="1" applyFont="1" applyFill="1" applyBorder="1" applyAlignment="1">
      <alignment horizontal="center" vertical="center"/>
    </xf>
    <xf numFmtId="0" fontId="18" fillId="4" borderId="8" xfId="1" applyFont="1" applyFill="1" applyBorder="1" applyAlignment="1">
      <alignment horizontal="center" vertical="center"/>
    </xf>
    <xf numFmtId="0" fontId="18" fillId="4" borderId="13" xfId="1" applyFont="1" applyFill="1" applyBorder="1" applyAlignment="1">
      <alignment horizontal="center" vertical="center"/>
    </xf>
    <xf numFmtId="0" fontId="18" fillId="4" borderId="11" xfId="1" applyFont="1" applyFill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4" fontId="14" fillId="13" borderId="2" xfId="3" applyNumberFormat="1" applyFont="1" applyFill="1" applyBorder="1" applyAlignment="1">
      <alignment horizontal="center"/>
    </xf>
    <xf numFmtId="4" fontId="14" fillId="13" borderId="4" xfId="3" applyNumberFormat="1" applyFont="1" applyFill="1" applyBorder="1" applyAlignment="1">
      <alignment horizontal="center"/>
    </xf>
    <xf numFmtId="9" fontId="5" fillId="0" borderId="6" xfId="4" applyFont="1" applyBorder="1" applyAlignment="1">
      <alignment horizontal="center" vertical="center"/>
    </xf>
    <xf numFmtId="9" fontId="5" fillId="0" borderId="7" xfId="4" applyFont="1" applyBorder="1" applyAlignment="1">
      <alignment horizontal="center" vertical="center"/>
    </xf>
    <xf numFmtId="9" fontId="5" fillId="0" borderId="5" xfId="4" applyFont="1" applyBorder="1" applyAlignment="1">
      <alignment horizontal="center" vertical="center"/>
    </xf>
    <xf numFmtId="167" fontId="5" fillId="6" borderId="2" xfId="2" applyNumberFormat="1" applyFont="1" applyFill="1" applyBorder="1" applyAlignment="1">
      <alignment horizontal="center" vertical="center"/>
    </xf>
    <xf numFmtId="167" fontId="5" fillId="6" borderId="4" xfId="2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167" fontId="5" fillId="7" borderId="2" xfId="2" applyNumberFormat="1" applyFont="1" applyFill="1" applyBorder="1" applyAlignment="1">
      <alignment horizontal="center" vertical="center"/>
    </xf>
    <xf numFmtId="167" fontId="5" fillId="7" borderId="4" xfId="2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167" fontId="5" fillId="8" borderId="5" xfId="2" applyNumberFormat="1" applyFont="1" applyFill="1" applyBorder="1" applyAlignment="1">
      <alignment horizontal="center" vertical="center" wrapText="1"/>
    </xf>
    <xf numFmtId="167" fontId="5" fillId="8" borderId="7" xfId="2" applyNumberFormat="1" applyFont="1" applyFill="1" applyBorder="1" applyAlignment="1">
      <alignment horizontal="center" vertical="center" wrapText="1"/>
    </xf>
  </cellXfs>
  <cellStyles count="12">
    <cellStyle name="Comma" xfId="2" builtinId="3"/>
    <cellStyle name="Comma 2" xfId="8" xr:uid="{00000000-0005-0000-0000-000001000000}"/>
    <cellStyle name="Currency" xfId="3" builtinId="4"/>
    <cellStyle name="Normal" xfId="0" builtinId="0"/>
    <cellStyle name="Normal 12" xfId="9" xr:uid="{00000000-0005-0000-0000-000004000000}"/>
    <cellStyle name="Normal 2" xfId="1" xr:uid="{00000000-0005-0000-0000-000005000000}"/>
    <cellStyle name="Normal 2 2" xfId="6" xr:uid="{00000000-0005-0000-0000-000006000000}"/>
    <cellStyle name="Normal 2 4" xfId="10" xr:uid="{00000000-0005-0000-0000-000007000000}"/>
    <cellStyle name="Normal 3" xfId="5" xr:uid="{00000000-0005-0000-0000-000008000000}"/>
    <cellStyle name="Percent" xfId="4" builtinId="5"/>
    <cellStyle name="Percent 2" xfId="7" xr:uid="{00000000-0005-0000-0000-00000A000000}"/>
    <cellStyle name="xT_Org" xfId="11" xr:uid="{00000000-0005-0000-0000-00000B000000}"/>
  </cellStyles>
  <dxfs count="0"/>
  <tableStyles count="0" defaultTableStyle="TableStyleMedium2" defaultPivotStyle="PivotStyleLight16"/>
  <colors>
    <mruColors>
      <color rgb="FFEFF064"/>
      <color rgb="FFFFFF66"/>
      <color rgb="FFD3FDF9"/>
      <color rgb="FFF0F4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317499</xdr:colOff>
      <xdr:row>2</xdr:row>
      <xdr:rowOff>84668</xdr:rowOff>
    </xdr:from>
    <xdr:to>
      <xdr:col>11</xdr:col>
      <xdr:colOff>1153582</xdr:colOff>
      <xdr:row>8</xdr:row>
      <xdr:rowOff>74085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654904-DA75-46BA-9E04-C6DD4DCB6608}"/>
            </a:ext>
          </a:extLst>
        </xdr:cNvPr>
        <xdr:cNvSpPr txBox="1"/>
      </xdr:nvSpPr>
      <xdr:spPr>
        <a:xfrm>
          <a:off x="6661149" y="472018"/>
          <a:ext cx="4709583" cy="1170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Mohon</a:t>
          </a:r>
          <a: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Usulan RAB dilengkapi dengan urutan mengisi Sheet sebagai berikut:</a:t>
          </a:r>
          <a:b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(th1) </a:t>
          </a:r>
        </a:p>
        <a:p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(th2)</a:t>
          </a:r>
        </a:p>
        <a:p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(th3) </a:t>
          </a:r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</a:t>
          </a:r>
          <a:r>
            <a:rPr lang="id-ID" sz="1000" b="0" i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disesuaikan dengan skema RISPRO yang dipilih</a:t>
          </a:r>
        </a:p>
        <a:p>
          <a:r>
            <a:rPr lang="id-ID" sz="1000" b="0" i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Jika Mitra lebih dari satu maka kolom mitra dapat ditambahkan</a:t>
          </a:r>
          <a:endParaRPr lang="id-ID" sz="1000" i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317499</xdr:colOff>
      <xdr:row>2</xdr:row>
      <xdr:rowOff>84668</xdr:rowOff>
    </xdr:from>
    <xdr:to>
      <xdr:col>11</xdr:col>
      <xdr:colOff>1153582</xdr:colOff>
      <xdr:row>8</xdr:row>
      <xdr:rowOff>74085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DD1A1C-4497-4F55-B5D9-86F1A66851BF}"/>
            </a:ext>
          </a:extLst>
        </xdr:cNvPr>
        <xdr:cNvSpPr txBox="1"/>
      </xdr:nvSpPr>
      <xdr:spPr>
        <a:xfrm>
          <a:off x="6661149" y="472018"/>
          <a:ext cx="4709583" cy="1170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Mohon</a:t>
          </a:r>
          <a: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Usulan RAB dilengkapi dengan urutan mengisi Sheet sebagai berikut:</a:t>
          </a:r>
          <a:b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(th1) </a:t>
          </a:r>
        </a:p>
        <a:p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(th2)</a:t>
          </a:r>
        </a:p>
        <a:p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(th3) </a:t>
          </a:r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</a:t>
          </a:r>
          <a:r>
            <a:rPr lang="id-ID" sz="1000" b="0" i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disesuaikan dengan skema RISPRO yang dipilih</a:t>
          </a:r>
        </a:p>
        <a:p>
          <a:r>
            <a:rPr lang="id-ID" sz="1000" b="0" i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Jika Mitra lebih dari satu maka kolom mitra dapat ditambahkan</a:t>
          </a:r>
          <a:endParaRPr lang="id-ID" sz="1000" i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317499</xdr:colOff>
      <xdr:row>2</xdr:row>
      <xdr:rowOff>84668</xdr:rowOff>
    </xdr:from>
    <xdr:to>
      <xdr:col>11</xdr:col>
      <xdr:colOff>1153582</xdr:colOff>
      <xdr:row>8</xdr:row>
      <xdr:rowOff>74085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BE1440-D7F9-409A-82FC-52DEFE3CF534}"/>
            </a:ext>
          </a:extLst>
        </xdr:cNvPr>
        <xdr:cNvSpPr txBox="1"/>
      </xdr:nvSpPr>
      <xdr:spPr>
        <a:xfrm>
          <a:off x="6661149" y="472018"/>
          <a:ext cx="4709583" cy="1170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Mohon</a:t>
          </a:r>
          <a: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Usulan RAB dilengkapi dengan urutan mengisi Sheet sebagai berikut:</a:t>
          </a:r>
          <a:b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</a:br>
          <a:r>
            <a:rPr lang="id-ID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(th1) </a:t>
          </a:r>
        </a:p>
        <a:p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(th2)</a:t>
          </a:r>
        </a:p>
        <a:p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 </a:t>
          </a:r>
          <a:r>
            <a:rPr lang="id-ID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Rincian (th3) </a:t>
          </a:r>
          <a:r>
            <a:rPr lang="id-ID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</a:t>
          </a:r>
          <a:r>
            <a:rPr lang="id-ID" sz="1000" b="0" i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disesuaikan dengan skema RISPRO yang dipilih</a:t>
          </a:r>
        </a:p>
        <a:p>
          <a:r>
            <a:rPr lang="id-ID" sz="1000" b="0" i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Jika Mitra lebih dari satu maka kolom mitra dapat ditambahkan</a:t>
          </a:r>
          <a:endParaRPr lang="id-ID" sz="1000" i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86A6-B32E-4AB3-A25A-5A4189B297AF}">
  <dimension ref="A1:C6"/>
  <sheetViews>
    <sheetView zoomScale="85" zoomScaleNormal="85" workbookViewId="0">
      <selection activeCell="B2" sqref="B2"/>
    </sheetView>
  </sheetViews>
  <sheetFormatPr defaultRowHeight="14.5" x14ac:dyDescent="0.35"/>
  <cols>
    <col min="1" max="1" width="6.6328125" style="133" customWidth="1"/>
    <col min="2" max="2" width="38.36328125" style="133" customWidth="1"/>
    <col min="3" max="3" width="70.54296875" style="133" customWidth="1"/>
    <col min="4" max="16384" width="8.7265625" style="133"/>
  </cols>
  <sheetData>
    <row r="1" spans="1:3" ht="15.5" x14ac:dyDescent="0.35">
      <c r="A1" s="137" t="s">
        <v>98</v>
      </c>
      <c r="B1" s="137" t="s">
        <v>100</v>
      </c>
      <c r="C1" s="137" t="s">
        <v>99</v>
      </c>
    </row>
    <row r="2" spans="1:3" ht="149" x14ac:dyDescent="0.35">
      <c r="A2" s="134">
        <v>1</v>
      </c>
      <c r="B2" s="138" t="s">
        <v>108</v>
      </c>
      <c r="C2" s="135" t="s">
        <v>109</v>
      </c>
    </row>
    <row r="3" spans="1:3" ht="159.5" x14ac:dyDescent="0.35">
      <c r="A3" s="134">
        <v>2</v>
      </c>
      <c r="B3" s="134" t="s">
        <v>111</v>
      </c>
      <c r="C3" s="134" t="s">
        <v>110</v>
      </c>
    </row>
    <row r="4" spans="1:3" ht="174" x14ac:dyDescent="0.35">
      <c r="A4" s="134">
        <v>3</v>
      </c>
      <c r="B4" s="134" t="s">
        <v>112</v>
      </c>
      <c r="C4" s="134" t="s">
        <v>103</v>
      </c>
    </row>
    <row r="5" spans="1:3" ht="87" x14ac:dyDescent="0.35">
      <c r="A5" s="134">
        <v>4</v>
      </c>
      <c r="B5" s="134" t="s">
        <v>113</v>
      </c>
      <c r="C5" s="134" t="s">
        <v>102</v>
      </c>
    </row>
    <row r="6" spans="1:3" ht="101.5" x14ac:dyDescent="0.35">
      <c r="A6" s="136">
        <v>5</v>
      </c>
      <c r="B6" s="134" t="s">
        <v>104</v>
      </c>
      <c r="C6" s="135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930E-AED3-4AF2-83A2-C6120F91DB95}">
  <dimension ref="A1:N93"/>
  <sheetViews>
    <sheetView zoomScale="85" zoomScaleNormal="85" workbookViewId="0">
      <selection activeCell="C14" sqref="C14"/>
    </sheetView>
  </sheetViews>
  <sheetFormatPr defaultColWidth="9.1796875" defaultRowHeight="10.5" x14ac:dyDescent="0.25"/>
  <cols>
    <col min="1" max="1" width="3.453125" style="34" customWidth="1"/>
    <col min="2" max="2" width="5.453125" style="126" customWidth="1"/>
    <col min="3" max="3" width="11" style="34" customWidth="1"/>
    <col min="4" max="4" width="38.6328125" style="34" customWidth="1"/>
    <col min="5" max="5" width="16.453125" style="34" customWidth="1"/>
    <col min="6" max="6" width="7" style="127" bestFit="1" customWidth="1"/>
    <col min="7" max="7" width="8.81640625" style="127" bestFit="1" customWidth="1"/>
    <col min="8" max="8" width="15.453125" style="34" customWidth="1"/>
    <col min="9" max="9" width="6.6328125" style="34" bestFit="1" customWidth="1"/>
    <col min="10" max="10" width="13.36328125" style="37" customWidth="1"/>
    <col min="11" max="11" width="20" style="38" customWidth="1"/>
    <col min="12" max="12" width="20" style="39" customWidth="1"/>
    <col min="13" max="13" width="18.6328125" style="34" customWidth="1"/>
    <col min="14" max="14" width="9.453125" style="34" bestFit="1" customWidth="1"/>
    <col min="15" max="16384" width="9.1796875" style="34"/>
  </cols>
  <sheetData>
    <row r="1" spans="1:13" ht="23" x14ac:dyDescent="0.5">
      <c r="A1" s="175" t="s">
        <v>58</v>
      </c>
      <c r="B1" s="176"/>
      <c r="C1" s="176"/>
      <c r="D1" s="176"/>
      <c r="E1" s="176"/>
      <c r="F1" s="176"/>
      <c r="G1" s="176"/>
      <c r="H1" s="176"/>
      <c r="I1" s="176"/>
      <c r="J1" s="177"/>
      <c r="K1" s="178" t="s">
        <v>114</v>
      </c>
      <c r="L1" s="179"/>
    </row>
    <row r="2" spans="1:13" ht="7.5" customHeight="1" x14ac:dyDescent="0.2">
      <c r="A2" s="35"/>
      <c r="B2" s="35"/>
      <c r="C2" s="35"/>
      <c r="D2" s="36"/>
      <c r="E2" s="36"/>
      <c r="F2" s="36"/>
      <c r="G2" s="36"/>
    </row>
    <row r="3" spans="1:13" ht="15.5" x14ac:dyDescent="0.2">
      <c r="A3" s="163" t="s">
        <v>46</v>
      </c>
      <c r="B3" s="163"/>
      <c r="C3" s="163"/>
      <c r="D3" s="40" t="s">
        <v>47</v>
      </c>
      <c r="E3" s="36"/>
      <c r="F3" s="36"/>
      <c r="G3" s="36"/>
    </row>
    <row r="4" spans="1:13" ht="15.5" x14ac:dyDescent="0.2">
      <c r="A4" s="163" t="s">
        <v>62</v>
      </c>
      <c r="B4" s="163"/>
      <c r="C4" s="163"/>
      <c r="D4" s="40" t="s">
        <v>61</v>
      </c>
      <c r="E4" s="36"/>
      <c r="F4" s="36"/>
      <c r="G4" s="36"/>
    </row>
    <row r="5" spans="1:13" ht="15.5" x14ac:dyDescent="0.2">
      <c r="A5" s="163" t="s">
        <v>51</v>
      </c>
      <c r="B5" s="163"/>
      <c r="C5" s="163"/>
      <c r="D5" s="40" t="s">
        <v>47</v>
      </c>
      <c r="E5" s="36"/>
      <c r="F5" s="36"/>
      <c r="G5" s="36"/>
    </row>
    <row r="6" spans="1:13" ht="15.5" x14ac:dyDescent="0.2">
      <c r="A6" s="163" t="s">
        <v>52</v>
      </c>
      <c r="B6" s="163"/>
      <c r="C6" s="163"/>
      <c r="D6" s="40" t="s">
        <v>47</v>
      </c>
      <c r="E6" s="36"/>
      <c r="F6" s="36"/>
      <c r="G6" s="36"/>
    </row>
    <row r="7" spans="1:13" ht="15.5" x14ac:dyDescent="0.2">
      <c r="A7" s="163" t="s">
        <v>60</v>
      </c>
      <c r="B7" s="163"/>
      <c r="C7" s="163"/>
      <c r="D7" s="40" t="s">
        <v>47</v>
      </c>
      <c r="E7" s="36"/>
      <c r="F7" s="36"/>
      <c r="G7" s="36"/>
    </row>
    <row r="8" spans="1:13" ht="15.5" x14ac:dyDescent="0.2">
      <c r="A8" s="40" t="s">
        <v>48</v>
      </c>
      <c r="B8" s="40"/>
      <c r="C8" s="40"/>
      <c r="D8" s="40" t="s">
        <v>49</v>
      </c>
      <c r="E8" s="36"/>
      <c r="F8" s="36"/>
      <c r="G8" s="36"/>
    </row>
    <row r="9" spans="1:13" ht="15.5" x14ac:dyDescent="0.2">
      <c r="B9" s="41"/>
      <c r="C9" s="42"/>
      <c r="D9" s="40"/>
      <c r="E9" s="36"/>
      <c r="F9" s="36"/>
      <c r="G9" s="36"/>
    </row>
    <row r="10" spans="1:13" ht="12" customHeight="1" x14ac:dyDescent="0.2">
      <c r="A10" s="164" t="s">
        <v>0</v>
      </c>
      <c r="B10" s="165"/>
      <c r="C10" s="166"/>
      <c r="D10" s="173" t="s">
        <v>55</v>
      </c>
      <c r="E10" s="173" t="s">
        <v>85</v>
      </c>
      <c r="F10" s="152" t="s">
        <v>26</v>
      </c>
      <c r="G10" s="152" t="s">
        <v>29</v>
      </c>
      <c r="H10" s="149" t="s">
        <v>25</v>
      </c>
      <c r="I10" s="152" t="s">
        <v>27</v>
      </c>
      <c r="J10" s="155" t="s">
        <v>95</v>
      </c>
      <c r="K10" s="158" t="s">
        <v>2</v>
      </c>
      <c r="L10" s="159"/>
      <c r="M10" s="155" t="s">
        <v>78</v>
      </c>
    </row>
    <row r="11" spans="1:13" ht="12" customHeight="1" x14ac:dyDescent="0.2">
      <c r="A11" s="167"/>
      <c r="B11" s="168"/>
      <c r="C11" s="169"/>
      <c r="D11" s="174"/>
      <c r="E11" s="174"/>
      <c r="F11" s="153"/>
      <c r="G11" s="153"/>
      <c r="H11" s="150"/>
      <c r="I11" s="153"/>
      <c r="J11" s="156"/>
      <c r="K11" s="43" t="s">
        <v>3</v>
      </c>
      <c r="L11" s="44" t="s">
        <v>4</v>
      </c>
      <c r="M11" s="156"/>
    </row>
    <row r="12" spans="1:13" ht="12" customHeight="1" x14ac:dyDescent="0.2">
      <c r="A12" s="170"/>
      <c r="B12" s="171"/>
      <c r="C12" s="172"/>
      <c r="D12" s="174"/>
      <c r="E12" s="174"/>
      <c r="F12" s="154"/>
      <c r="G12" s="154"/>
      <c r="H12" s="151"/>
      <c r="I12" s="154"/>
      <c r="J12" s="157"/>
      <c r="K12" s="44" t="s">
        <v>5</v>
      </c>
      <c r="L12" s="44" t="s">
        <v>5</v>
      </c>
      <c r="M12" s="157"/>
    </row>
    <row r="13" spans="1:13" ht="15.75" customHeight="1" x14ac:dyDescent="0.2">
      <c r="A13" s="45" t="s">
        <v>15</v>
      </c>
      <c r="B13" s="162" t="s">
        <v>43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47"/>
    </row>
    <row r="14" spans="1:13" ht="15.75" customHeight="1" x14ac:dyDescent="0.2">
      <c r="A14" s="48"/>
      <c r="B14" s="49" t="s">
        <v>16</v>
      </c>
      <c r="C14" s="50" t="s">
        <v>115</v>
      </c>
      <c r="D14" s="50"/>
      <c r="E14" s="50"/>
      <c r="F14" s="50"/>
      <c r="G14" s="50"/>
      <c r="H14" s="50"/>
      <c r="I14" s="50"/>
      <c r="J14" s="50"/>
      <c r="K14" s="50"/>
      <c r="L14" s="50"/>
      <c r="M14" s="47"/>
    </row>
    <row r="15" spans="1:13" x14ac:dyDescent="0.2">
      <c r="A15" s="48"/>
      <c r="B15" s="51" t="s">
        <v>11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47"/>
    </row>
    <row r="16" spans="1:13" x14ac:dyDescent="0.2">
      <c r="A16" s="53"/>
      <c r="B16" s="160"/>
      <c r="C16" s="54">
        <v>1</v>
      </c>
      <c r="D16" s="55" t="s">
        <v>90</v>
      </c>
      <c r="E16" s="47" t="s">
        <v>86</v>
      </c>
      <c r="F16" s="54"/>
      <c r="G16" s="54"/>
      <c r="H16" s="54"/>
      <c r="I16" s="54" t="s">
        <v>28</v>
      </c>
      <c r="J16" s="56">
        <f>F16*G16*H16</f>
        <v>0</v>
      </c>
      <c r="K16" s="57">
        <f>J16</f>
        <v>0</v>
      </c>
      <c r="L16" s="58"/>
      <c r="M16" s="146" t="s">
        <v>77</v>
      </c>
    </row>
    <row r="17" spans="1:14" x14ac:dyDescent="0.2">
      <c r="A17" s="59"/>
      <c r="B17" s="161"/>
      <c r="C17" s="54">
        <v>2</v>
      </c>
      <c r="D17" s="55" t="s">
        <v>90</v>
      </c>
      <c r="E17" s="47" t="s">
        <v>87</v>
      </c>
      <c r="F17" s="54"/>
      <c r="G17" s="54"/>
      <c r="H17" s="54"/>
      <c r="I17" s="54" t="s">
        <v>28</v>
      </c>
      <c r="J17" s="56">
        <f t="shared" ref="J17:J19" si="0">F17*G17*H17</f>
        <v>0</v>
      </c>
      <c r="K17" s="57">
        <f t="shared" ref="K17:K19" si="1">J17</f>
        <v>0</v>
      </c>
      <c r="L17" s="58"/>
      <c r="M17" s="147"/>
    </row>
    <row r="18" spans="1:14" x14ac:dyDescent="0.2">
      <c r="A18" s="59"/>
      <c r="B18" s="161"/>
      <c r="C18" s="54">
        <v>3</v>
      </c>
      <c r="D18" s="55" t="s">
        <v>90</v>
      </c>
      <c r="E18" s="47" t="s">
        <v>88</v>
      </c>
      <c r="F18" s="54"/>
      <c r="G18" s="54"/>
      <c r="H18" s="54"/>
      <c r="I18" s="54" t="s">
        <v>28</v>
      </c>
      <c r="J18" s="56">
        <f t="shared" si="0"/>
        <v>0</v>
      </c>
      <c r="K18" s="57">
        <f t="shared" si="1"/>
        <v>0</v>
      </c>
      <c r="L18" s="58"/>
      <c r="M18" s="147"/>
    </row>
    <row r="19" spans="1:14" x14ac:dyDescent="0.2">
      <c r="A19" s="59"/>
      <c r="B19" s="161"/>
      <c r="C19" s="54">
        <v>4</v>
      </c>
      <c r="D19" s="55" t="s">
        <v>90</v>
      </c>
      <c r="E19" s="47" t="s">
        <v>89</v>
      </c>
      <c r="F19" s="54"/>
      <c r="G19" s="54"/>
      <c r="H19" s="54"/>
      <c r="I19" s="54" t="s">
        <v>28</v>
      </c>
      <c r="J19" s="56">
        <f t="shared" si="0"/>
        <v>0</v>
      </c>
      <c r="K19" s="57">
        <f t="shared" si="1"/>
        <v>0</v>
      </c>
      <c r="L19" s="58"/>
      <c r="M19" s="147"/>
    </row>
    <row r="20" spans="1:14" x14ac:dyDescent="0.2">
      <c r="A20" s="60"/>
      <c r="B20" s="61" t="s">
        <v>91</v>
      </c>
      <c r="C20" s="62"/>
      <c r="D20" s="62"/>
      <c r="E20" s="62"/>
      <c r="F20" s="62"/>
      <c r="G20" s="62"/>
      <c r="H20" s="62"/>
      <c r="I20" s="62"/>
      <c r="J20" s="63">
        <f>SUM(J16:J19)</f>
        <v>0</v>
      </c>
      <c r="K20" s="63">
        <f>SUM(K16:K19)</f>
        <v>0</v>
      </c>
      <c r="L20" s="64">
        <f>SUM(L16:L19)</f>
        <v>0</v>
      </c>
      <c r="M20" s="47"/>
      <c r="N20" s="65"/>
    </row>
    <row r="21" spans="1:14" ht="15.75" customHeight="1" x14ac:dyDescent="0.2">
      <c r="A21" s="48"/>
      <c r="B21" s="49" t="s">
        <v>17</v>
      </c>
      <c r="C21" s="50" t="s">
        <v>10</v>
      </c>
      <c r="D21" s="50"/>
      <c r="E21" s="50"/>
      <c r="F21" s="50"/>
      <c r="G21" s="50"/>
      <c r="H21" s="50"/>
      <c r="I21" s="50"/>
      <c r="J21" s="66"/>
      <c r="K21" s="66"/>
      <c r="L21" s="66"/>
      <c r="M21" s="47"/>
    </row>
    <row r="22" spans="1:14" ht="14" x14ac:dyDescent="0.3">
      <c r="A22" s="48"/>
      <c r="B22" s="67" t="s">
        <v>12</v>
      </c>
      <c r="C22" s="68" t="s">
        <v>63</v>
      </c>
      <c r="D22" s="132" t="s">
        <v>92</v>
      </c>
      <c r="E22" s="52"/>
      <c r="F22" s="52"/>
      <c r="G22" s="52"/>
      <c r="H22" s="52"/>
      <c r="I22" s="52"/>
      <c r="J22" s="69"/>
      <c r="K22" s="69"/>
      <c r="L22" s="69"/>
      <c r="M22" s="70"/>
    </row>
    <row r="23" spans="1:14" ht="14" x14ac:dyDescent="0.3">
      <c r="A23" s="48"/>
      <c r="B23" s="71" t="s">
        <v>18</v>
      </c>
      <c r="C23" s="72" t="s">
        <v>64</v>
      </c>
      <c r="D23" s="73"/>
      <c r="E23" s="73"/>
      <c r="F23" s="73"/>
      <c r="G23" s="73"/>
      <c r="H23" s="73"/>
      <c r="I23" s="73"/>
      <c r="J23" s="74"/>
      <c r="K23" s="74"/>
      <c r="L23" s="74"/>
      <c r="M23" s="70"/>
    </row>
    <row r="24" spans="1:14" ht="12.5" x14ac:dyDescent="0.2">
      <c r="A24" s="59"/>
      <c r="B24" s="141"/>
      <c r="C24" s="54">
        <v>1</v>
      </c>
      <c r="D24" s="75"/>
      <c r="E24" s="47"/>
      <c r="F24" s="54"/>
      <c r="G24" s="54"/>
      <c r="H24" s="54"/>
      <c r="I24" s="54"/>
      <c r="J24" s="56">
        <f t="shared" ref="J24:J25" si="2">F24*G24*H24</f>
        <v>0</v>
      </c>
      <c r="K24" s="57">
        <f>J24</f>
        <v>0</v>
      </c>
      <c r="L24" s="58"/>
      <c r="M24" s="76" t="s">
        <v>79</v>
      </c>
    </row>
    <row r="25" spans="1:14" ht="12.5" x14ac:dyDescent="0.2">
      <c r="A25" s="59"/>
      <c r="B25" s="142"/>
      <c r="C25" s="54">
        <v>2</v>
      </c>
      <c r="D25" s="75"/>
      <c r="E25" s="47"/>
      <c r="F25" s="54"/>
      <c r="G25" s="54"/>
      <c r="H25" s="54"/>
      <c r="I25" s="54"/>
      <c r="J25" s="56">
        <f t="shared" si="2"/>
        <v>0</v>
      </c>
      <c r="K25" s="57">
        <f t="shared" ref="K25" si="3">J25</f>
        <v>0</v>
      </c>
      <c r="L25" s="58"/>
      <c r="M25" s="76" t="s">
        <v>79</v>
      </c>
    </row>
    <row r="26" spans="1:14" ht="12.5" x14ac:dyDescent="0.2">
      <c r="A26" s="59"/>
      <c r="B26" s="143"/>
      <c r="C26" s="77" t="s">
        <v>66</v>
      </c>
      <c r="D26" s="78"/>
      <c r="E26" s="79"/>
      <c r="F26" s="78"/>
      <c r="G26" s="78"/>
      <c r="H26" s="78"/>
      <c r="I26" s="80"/>
      <c r="J26" s="81">
        <f>SUM(J24:J25)</f>
        <v>0</v>
      </c>
      <c r="K26" s="82">
        <f>SUM(K24:K25)</f>
        <v>0</v>
      </c>
      <c r="L26" s="83">
        <f>SUM(L24:L25)</f>
        <v>0</v>
      </c>
      <c r="M26" s="76" t="s">
        <v>80</v>
      </c>
      <c r="N26" s="65"/>
    </row>
    <row r="27" spans="1:14" ht="14" x14ac:dyDescent="0.3">
      <c r="A27" s="48"/>
      <c r="B27" s="71" t="s">
        <v>19</v>
      </c>
      <c r="C27" s="72" t="s">
        <v>65</v>
      </c>
      <c r="D27" s="73"/>
      <c r="E27" s="73"/>
      <c r="F27" s="73"/>
      <c r="G27" s="73"/>
      <c r="H27" s="73"/>
      <c r="I27" s="73"/>
      <c r="J27" s="74"/>
      <c r="K27" s="74"/>
      <c r="L27" s="74"/>
      <c r="M27" s="70"/>
    </row>
    <row r="28" spans="1:14" x14ac:dyDescent="0.2">
      <c r="A28" s="59"/>
      <c r="B28" s="141"/>
      <c r="C28" s="54">
        <v>1</v>
      </c>
      <c r="D28" s="75"/>
      <c r="E28" s="47"/>
      <c r="F28" s="54"/>
      <c r="G28" s="54"/>
      <c r="H28" s="54"/>
      <c r="I28" s="54"/>
      <c r="J28" s="56">
        <f t="shared" ref="J28:J29" si="4">F28*G28*H28</f>
        <v>0</v>
      </c>
      <c r="K28" s="57">
        <f>J28</f>
        <v>0</v>
      </c>
      <c r="L28" s="58"/>
      <c r="M28" s="47"/>
    </row>
    <row r="29" spans="1:14" x14ac:dyDescent="0.2">
      <c r="A29" s="59"/>
      <c r="B29" s="142"/>
      <c r="C29" s="54">
        <v>2</v>
      </c>
      <c r="D29" s="75"/>
      <c r="E29" s="47"/>
      <c r="F29" s="54"/>
      <c r="G29" s="54"/>
      <c r="H29" s="54"/>
      <c r="I29" s="54"/>
      <c r="J29" s="56">
        <f t="shared" si="4"/>
        <v>0</v>
      </c>
      <c r="K29" s="57">
        <f t="shared" ref="K29" si="5">J29</f>
        <v>0</v>
      </c>
      <c r="L29" s="58"/>
      <c r="M29" s="47"/>
    </row>
    <row r="30" spans="1:14" x14ac:dyDescent="0.2">
      <c r="A30" s="59"/>
      <c r="B30" s="143"/>
      <c r="C30" s="77" t="s">
        <v>66</v>
      </c>
      <c r="D30" s="78"/>
      <c r="E30" s="79"/>
      <c r="F30" s="78"/>
      <c r="G30" s="78"/>
      <c r="H30" s="78"/>
      <c r="I30" s="80"/>
      <c r="J30" s="81">
        <f>SUM(J28:J29)</f>
        <v>0</v>
      </c>
      <c r="K30" s="82">
        <f>SUM(K28:K29)</f>
        <v>0</v>
      </c>
      <c r="L30" s="83">
        <f>SUM(L28:L29)</f>
        <v>0</v>
      </c>
      <c r="M30" s="47"/>
      <c r="N30" s="65"/>
    </row>
    <row r="31" spans="1:14" ht="14" x14ac:dyDescent="0.3">
      <c r="A31" s="48"/>
      <c r="B31" s="71" t="s">
        <v>20</v>
      </c>
      <c r="C31" s="72" t="s">
        <v>67</v>
      </c>
      <c r="D31" s="73"/>
      <c r="E31" s="73"/>
      <c r="F31" s="73"/>
      <c r="G31" s="73"/>
      <c r="H31" s="73"/>
      <c r="I31" s="73"/>
      <c r="J31" s="74"/>
      <c r="K31" s="74"/>
      <c r="L31" s="74"/>
      <c r="M31" s="70"/>
    </row>
    <row r="32" spans="1:14" x14ac:dyDescent="0.2">
      <c r="A32" s="59"/>
      <c r="B32" s="144"/>
      <c r="C32" s="54">
        <v>1</v>
      </c>
      <c r="D32" s="75"/>
      <c r="E32" s="47"/>
      <c r="F32" s="54"/>
      <c r="G32" s="54"/>
      <c r="H32" s="54"/>
      <c r="I32" s="54"/>
      <c r="J32" s="56">
        <f t="shared" ref="J32:J33" si="6">F32*G32*H32</f>
        <v>0</v>
      </c>
      <c r="K32" s="57">
        <f>J32</f>
        <v>0</v>
      </c>
      <c r="L32" s="58"/>
      <c r="M32" s="47"/>
    </row>
    <row r="33" spans="1:14" x14ac:dyDescent="0.2">
      <c r="A33" s="59"/>
      <c r="B33" s="145"/>
      <c r="C33" s="54">
        <v>2</v>
      </c>
      <c r="D33" s="75"/>
      <c r="E33" s="47"/>
      <c r="F33" s="54"/>
      <c r="G33" s="54"/>
      <c r="H33" s="54"/>
      <c r="I33" s="54"/>
      <c r="J33" s="56">
        <f t="shared" si="6"/>
        <v>0</v>
      </c>
      <c r="K33" s="57">
        <f t="shared" ref="K33" si="7">J33</f>
        <v>0</v>
      </c>
      <c r="L33" s="58"/>
      <c r="M33" s="47"/>
    </row>
    <row r="34" spans="1:14" x14ac:dyDescent="0.2">
      <c r="A34" s="59"/>
      <c r="B34" s="145"/>
      <c r="C34" s="84" t="s">
        <v>66</v>
      </c>
      <c r="D34" s="78"/>
      <c r="E34" s="79"/>
      <c r="F34" s="78"/>
      <c r="G34" s="78"/>
      <c r="H34" s="78"/>
      <c r="I34" s="80"/>
      <c r="J34" s="81">
        <f t="shared" ref="J34:L34" si="8">SUM(J32:J33)</f>
        <v>0</v>
      </c>
      <c r="K34" s="82">
        <f t="shared" si="8"/>
        <v>0</v>
      </c>
      <c r="L34" s="83">
        <f t="shared" si="8"/>
        <v>0</v>
      </c>
      <c r="M34" s="47"/>
      <c r="N34" s="65"/>
    </row>
    <row r="35" spans="1:14" ht="15" customHeight="1" x14ac:dyDescent="0.2">
      <c r="A35" s="59"/>
      <c r="B35" s="139" t="s">
        <v>68</v>
      </c>
      <c r="C35" s="140"/>
      <c r="D35" s="85"/>
      <c r="E35" s="86"/>
      <c r="F35" s="85"/>
      <c r="G35" s="85"/>
      <c r="H35" s="85"/>
      <c r="I35" s="87"/>
      <c r="J35" s="88">
        <f>SUM(J26,J30,J34)</f>
        <v>0</v>
      </c>
      <c r="K35" s="88">
        <f t="shared" ref="K35:L35" si="9">SUM(K26,K30,K34)</f>
        <v>0</v>
      </c>
      <c r="L35" s="88">
        <f t="shared" si="9"/>
        <v>0</v>
      </c>
      <c r="M35" s="47"/>
      <c r="N35" s="65"/>
    </row>
    <row r="36" spans="1:14" ht="14" x14ac:dyDescent="0.3">
      <c r="A36" s="48"/>
      <c r="B36" s="67" t="s">
        <v>13</v>
      </c>
      <c r="C36" s="68" t="s">
        <v>72</v>
      </c>
      <c r="D36" s="132" t="s">
        <v>93</v>
      </c>
      <c r="E36" s="52"/>
      <c r="F36" s="52"/>
      <c r="G36" s="52"/>
      <c r="H36" s="52"/>
      <c r="I36" s="52"/>
      <c r="J36" s="69"/>
      <c r="K36" s="69"/>
      <c r="L36" s="69"/>
      <c r="M36" s="70"/>
    </row>
    <row r="37" spans="1:14" ht="14" x14ac:dyDescent="0.3">
      <c r="A37" s="48"/>
      <c r="B37" s="71" t="s">
        <v>21</v>
      </c>
      <c r="C37" s="72" t="s">
        <v>69</v>
      </c>
      <c r="D37" s="73"/>
      <c r="E37" s="73"/>
      <c r="F37" s="73"/>
      <c r="G37" s="73"/>
      <c r="H37" s="73"/>
      <c r="I37" s="73"/>
      <c r="J37" s="74"/>
      <c r="K37" s="74"/>
      <c r="L37" s="74"/>
      <c r="M37" s="70"/>
    </row>
    <row r="38" spans="1:14" x14ac:dyDescent="0.2">
      <c r="A38" s="59"/>
      <c r="B38" s="141"/>
      <c r="C38" s="54">
        <v>1</v>
      </c>
      <c r="D38" s="75"/>
      <c r="E38" s="47"/>
      <c r="F38" s="54"/>
      <c r="G38" s="54"/>
      <c r="H38" s="54"/>
      <c r="I38" s="54"/>
      <c r="J38" s="56">
        <f t="shared" ref="J38:J39" si="10">F38*G38*H38</f>
        <v>0</v>
      </c>
      <c r="K38" s="57">
        <f>J38</f>
        <v>0</v>
      </c>
      <c r="L38" s="58"/>
      <c r="M38" s="47"/>
    </row>
    <row r="39" spans="1:14" x14ac:dyDescent="0.2">
      <c r="A39" s="59"/>
      <c r="B39" s="142"/>
      <c r="C39" s="54">
        <v>2</v>
      </c>
      <c r="D39" s="75"/>
      <c r="E39" s="47"/>
      <c r="F39" s="54"/>
      <c r="G39" s="54"/>
      <c r="H39" s="54"/>
      <c r="I39" s="54"/>
      <c r="J39" s="56">
        <f t="shared" si="10"/>
        <v>0</v>
      </c>
      <c r="K39" s="57">
        <f t="shared" ref="K39" si="11">J39</f>
        <v>0</v>
      </c>
      <c r="L39" s="58"/>
      <c r="M39" s="47"/>
    </row>
    <row r="40" spans="1:14" x14ac:dyDescent="0.2">
      <c r="A40" s="59"/>
      <c r="B40" s="143"/>
      <c r="C40" s="77" t="s">
        <v>66</v>
      </c>
      <c r="D40" s="78"/>
      <c r="E40" s="79"/>
      <c r="F40" s="78"/>
      <c r="G40" s="78"/>
      <c r="H40" s="78"/>
      <c r="I40" s="80"/>
      <c r="J40" s="81">
        <f>SUM(J38:J39)</f>
        <v>0</v>
      </c>
      <c r="K40" s="82">
        <f>SUM(K38:K39)</f>
        <v>0</v>
      </c>
      <c r="L40" s="83">
        <f>SUM(L38:L39)</f>
        <v>0</v>
      </c>
      <c r="M40" s="47"/>
      <c r="N40" s="65"/>
    </row>
    <row r="41" spans="1:14" ht="14" x14ac:dyDescent="0.3">
      <c r="A41" s="48"/>
      <c r="B41" s="71" t="s">
        <v>22</v>
      </c>
      <c r="C41" s="72" t="s">
        <v>71</v>
      </c>
      <c r="D41" s="73"/>
      <c r="E41" s="73"/>
      <c r="F41" s="73"/>
      <c r="G41" s="73"/>
      <c r="H41" s="73"/>
      <c r="I41" s="73"/>
      <c r="J41" s="74"/>
      <c r="K41" s="74"/>
      <c r="L41" s="74"/>
      <c r="M41" s="70"/>
    </row>
    <row r="42" spans="1:14" x14ac:dyDescent="0.2">
      <c r="A42" s="59"/>
      <c r="B42" s="141"/>
      <c r="C42" s="54">
        <v>1</v>
      </c>
      <c r="D42" s="75"/>
      <c r="E42" s="47"/>
      <c r="F42" s="54"/>
      <c r="G42" s="54"/>
      <c r="H42" s="54"/>
      <c r="I42" s="54"/>
      <c r="J42" s="56">
        <f t="shared" ref="J42:J43" si="12">F42*G42*H42</f>
        <v>0</v>
      </c>
      <c r="K42" s="57">
        <f>J42</f>
        <v>0</v>
      </c>
      <c r="L42" s="58"/>
      <c r="M42" s="47"/>
    </row>
    <row r="43" spans="1:14" x14ac:dyDescent="0.2">
      <c r="A43" s="59"/>
      <c r="B43" s="142"/>
      <c r="C43" s="54">
        <v>2</v>
      </c>
      <c r="D43" s="75"/>
      <c r="E43" s="47"/>
      <c r="F43" s="54"/>
      <c r="G43" s="54"/>
      <c r="H43" s="54"/>
      <c r="I43" s="54"/>
      <c r="J43" s="56">
        <f t="shared" si="12"/>
        <v>0</v>
      </c>
      <c r="K43" s="57">
        <f t="shared" ref="K43" si="13">J43</f>
        <v>0</v>
      </c>
      <c r="L43" s="58"/>
      <c r="M43" s="47"/>
    </row>
    <row r="44" spans="1:14" x14ac:dyDescent="0.2">
      <c r="A44" s="59"/>
      <c r="B44" s="143"/>
      <c r="C44" s="77" t="s">
        <v>66</v>
      </c>
      <c r="D44" s="78"/>
      <c r="E44" s="79"/>
      <c r="F44" s="78"/>
      <c r="G44" s="78"/>
      <c r="H44" s="78"/>
      <c r="I44" s="80"/>
      <c r="J44" s="81">
        <f>SUM(J42:J43)</f>
        <v>0</v>
      </c>
      <c r="K44" s="82">
        <f>SUM(K42:K43)</f>
        <v>0</v>
      </c>
      <c r="L44" s="83">
        <f>SUM(L42:L43)</f>
        <v>0</v>
      </c>
      <c r="M44" s="47"/>
      <c r="N44" s="65"/>
    </row>
    <row r="45" spans="1:14" ht="14" x14ac:dyDescent="0.3">
      <c r="A45" s="48"/>
      <c r="B45" s="71" t="s">
        <v>23</v>
      </c>
      <c r="C45" s="72" t="s">
        <v>70</v>
      </c>
      <c r="D45" s="73"/>
      <c r="E45" s="73"/>
      <c r="F45" s="73"/>
      <c r="G45" s="73"/>
      <c r="H45" s="73"/>
      <c r="I45" s="73"/>
      <c r="J45" s="74"/>
      <c r="K45" s="74"/>
      <c r="L45" s="74"/>
      <c r="M45" s="70"/>
    </row>
    <row r="46" spans="1:14" x14ac:dyDescent="0.2">
      <c r="A46" s="59"/>
      <c r="B46" s="141"/>
      <c r="C46" s="54">
        <v>1</v>
      </c>
      <c r="D46" s="75"/>
      <c r="E46" s="47"/>
      <c r="F46" s="54"/>
      <c r="G46" s="54"/>
      <c r="H46" s="54"/>
      <c r="I46" s="54"/>
      <c r="J46" s="56">
        <f t="shared" ref="J46:J47" si="14">F46*G46*H46</f>
        <v>0</v>
      </c>
      <c r="K46" s="57">
        <f>J46</f>
        <v>0</v>
      </c>
      <c r="L46" s="58"/>
      <c r="M46" s="47"/>
    </row>
    <row r="47" spans="1:14" x14ac:dyDescent="0.2">
      <c r="A47" s="59"/>
      <c r="B47" s="142"/>
      <c r="C47" s="54">
        <v>2</v>
      </c>
      <c r="D47" s="75"/>
      <c r="E47" s="47"/>
      <c r="F47" s="54"/>
      <c r="G47" s="54"/>
      <c r="H47" s="54"/>
      <c r="I47" s="54"/>
      <c r="J47" s="56">
        <f t="shared" si="14"/>
        <v>0</v>
      </c>
      <c r="K47" s="57">
        <f t="shared" ref="K47" si="15">J47</f>
        <v>0</v>
      </c>
      <c r="L47" s="58"/>
      <c r="M47" s="47"/>
    </row>
    <row r="48" spans="1:14" x14ac:dyDescent="0.2">
      <c r="A48" s="59"/>
      <c r="B48" s="143"/>
      <c r="C48" s="77" t="s">
        <v>66</v>
      </c>
      <c r="D48" s="78"/>
      <c r="E48" s="79"/>
      <c r="F48" s="78"/>
      <c r="G48" s="78"/>
      <c r="H48" s="78"/>
      <c r="I48" s="80"/>
      <c r="J48" s="81">
        <f>SUM(J46:J47)</f>
        <v>0</v>
      </c>
      <c r="K48" s="82">
        <f>SUM(K46:K47)</f>
        <v>0</v>
      </c>
      <c r="L48" s="83">
        <f>SUM(L46:L47)</f>
        <v>0</v>
      </c>
      <c r="M48" s="47"/>
      <c r="N48" s="65"/>
    </row>
    <row r="49" spans="1:14" ht="14" x14ac:dyDescent="0.3">
      <c r="A49" s="48"/>
      <c r="B49" s="71" t="s">
        <v>24</v>
      </c>
      <c r="C49" s="72" t="s">
        <v>67</v>
      </c>
      <c r="D49" s="73"/>
      <c r="E49" s="73"/>
      <c r="F49" s="73"/>
      <c r="G49" s="73"/>
      <c r="H49" s="73"/>
      <c r="I49" s="73"/>
      <c r="J49" s="74"/>
      <c r="K49" s="74"/>
      <c r="L49" s="74"/>
      <c r="M49" s="70"/>
    </row>
    <row r="50" spans="1:14" x14ac:dyDescent="0.2">
      <c r="A50" s="59"/>
      <c r="B50" s="144"/>
      <c r="C50" s="54">
        <v>1</v>
      </c>
      <c r="D50" s="75"/>
      <c r="E50" s="47"/>
      <c r="F50" s="54"/>
      <c r="G50" s="54"/>
      <c r="H50" s="54"/>
      <c r="I50" s="54"/>
      <c r="J50" s="56">
        <f t="shared" ref="J50:J51" si="16">F50*G50*H50</f>
        <v>0</v>
      </c>
      <c r="K50" s="57">
        <f>J50</f>
        <v>0</v>
      </c>
      <c r="L50" s="58"/>
      <c r="M50" s="47"/>
    </row>
    <row r="51" spans="1:14" x14ac:dyDescent="0.2">
      <c r="A51" s="59"/>
      <c r="B51" s="145"/>
      <c r="C51" s="54">
        <v>2</v>
      </c>
      <c r="D51" s="75"/>
      <c r="E51" s="47"/>
      <c r="F51" s="54"/>
      <c r="G51" s="54"/>
      <c r="H51" s="54"/>
      <c r="I51" s="54"/>
      <c r="J51" s="56">
        <f t="shared" si="16"/>
        <v>0</v>
      </c>
      <c r="K51" s="57">
        <f t="shared" ref="K51" si="17">J51</f>
        <v>0</v>
      </c>
      <c r="L51" s="58"/>
      <c r="M51" s="47"/>
    </row>
    <row r="52" spans="1:14" x14ac:dyDescent="0.2">
      <c r="A52" s="59"/>
      <c r="B52" s="145"/>
      <c r="C52" s="84" t="s">
        <v>66</v>
      </c>
      <c r="D52" s="78"/>
      <c r="E52" s="79"/>
      <c r="F52" s="78"/>
      <c r="G52" s="78"/>
      <c r="H52" s="78"/>
      <c r="I52" s="80"/>
      <c r="J52" s="81">
        <f t="shared" ref="J52:L52" si="18">SUM(J50:J51)</f>
        <v>0</v>
      </c>
      <c r="K52" s="82">
        <f t="shared" si="18"/>
        <v>0</v>
      </c>
      <c r="L52" s="83">
        <f t="shared" si="18"/>
        <v>0</v>
      </c>
      <c r="M52" s="47"/>
      <c r="N52" s="65"/>
    </row>
    <row r="53" spans="1:14" ht="15" customHeight="1" x14ac:dyDescent="0.2">
      <c r="A53" s="59"/>
      <c r="B53" s="139" t="s">
        <v>68</v>
      </c>
      <c r="C53" s="140"/>
      <c r="D53" s="85"/>
      <c r="E53" s="86"/>
      <c r="F53" s="85"/>
      <c r="G53" s="85"/>
      <c r="H53" s="85"/>
      <c r="I53" s="87"/>
      <c r="J53" s="88">
        <f>SUM(J40,J44,J48,J52)</f>
        <v>0</v>
      </c>
      <c r="K53" s="88">
        <f t="shared" ref="K53:L53" si="19">SUM(K40,K44,K48,K52)</f>
        <v>0</v>
      </c>
      <c r="L53" s="88">
        <f t="shared" si="19"/>
        <v>0</v>
      </c>
      <c r="M53" s="47"/>
      <c r="N53" s="65"/>
    </row>
    <row r="54" spans="1:14" ht="14" x14ac:dyDescent="0.3">
      <c r="A54" s="48"/>
      <c r="B54" s="67" t="s">
        <v>74</v>
      </c>
      <c r="C54" s="68" t="s">
        <v>73</v>
      </c>
      <c r="D54" s="132" t="s">
        <v>94</v>
      </c>
      <c r="E54" s="52"/>
      <c r="F54" s="52"/>
      <c r="G54" s="52"/>
      <c r="H54" s="52"/>
      <c r="I54" s="52"/>
      <c r="J54" s="69"/>
      <c r="K54" s="69"/>
      <c r="L54" s="69"/>
      <c r="M54" s="70"/>
    </row>
    <row r="55" spans="1:14" ht="14" x14ac:dyDescent="0.3">
      <c r="A55" s="48"/>
      <c r="B55" s="71" t="s">
        <v>75</v>
      </c>
      <c r="C55" s="72" t="s">
        <v>69</v>
      </c>
      <c r="D55" s="73"/>
      <c r="E55" s="73"/>
      <c r="F55" s="73"/>
      <c r="G55" s="73"/>
      <c r="H55" s="73"/>
      <c r="I55" s="73"/>
      <c r="J55" s="74"/>
      <c r="K55" s="74"/>
      <c r="L55" s="74"/>
      <c r="M55" s="70"/>
    </row>
    <row r="56" spans="1:14" x14ac:dyDescent="0.2">
      <c r="A56" s="59"/>
      <c r="B56" s="141"/>
      <c r="C56" s="54">
        <v>1</v>
      </c>
      <c r="D56" s="75"/>
      <c r="E56" s="47"/>
      <c r="F56" s="54"/>
      <c r="G56" s="54"/>
      <c r="H56" s="54"/>
      <c r="I56" s="54"/>
      <c r="J56" s="56">
        <f t="shared" ref="J56:J57" si="20">F56*G56*H56</f>
        <v>0</v>
      </c>
      <c r="K56" s="57">
        <f>J56</f>
        <v>0</v>
      </c>
      <c r="L56" s="58"/>
      <c r="M56" s="47"/>
    </row>
    <row r="57" spans="1:14" x14ac:dyDescent="0.2">
      <c r="A57" s="59"/>
      <c r="B57" s="142"/>
      <c r="C57" s="54">
        <v>2</v>
      </c>
      <c r="D57" s="75"/>
      <c r="E57" s="47"/>
      <c r="F57" s="54"/>
      <c r="G57" s="54"/>
      <c r="H57" s="54"/>
      <c r="I57" s="54"/>
      <c r="J57" s="56">
        <f t="shared" si="20"/>
        <v>0</v>
      </c>
      <c r="K57" s="57">
        <f t="shared" ref="K57" si="21">J57</f>
        <v>0</v>
      </c>
      <c r="L57" s="58"/>
      <c r="M57" s="47"/>
    </row>
    <row r="58" spans="1:14" x14ac:dyDescent="0.2">
      <c r="A58" s="59"/>
      <c r="B58" s="143"/>
      <c r="C58" s="77" t="s">
        <v>66</v>
      </c>
      <c r="D58" s="78"/>
      <c r="E58" s="79"/>
      <c r="F58" s="78"/>
      <c r="G58" s="78"/>
      <c r="H58" s="78"/>
      <c r="I58" s="80"/>
      <c r="J58" s="81">
        <f>SUM(J56:J57)</f>
        <v>0</v>
      </c>
      <c r="K58" s="82">
        <f>SUM(K56:K57)</f>
        <v>0</v>
      </c>
      <c r="L58" s="83">
        <f>SUM(L56:L57)</f>
        <v>0</v>
      </c>
      <c r="M58" s="47"/>
      <c r="N58" s="65"/>
    </row>
    <row r="59" spans="1:14" ht="14" x14ac:dyDescent="0.3">
      <c r="A59" s="48"/>
      <c r="B59" s="71" t="s">
        <v>76</v>
      </c>
      <c r="C59" s="72" t="s">
        <v>67</v>
      </c>
      <c r="D59" s="73"/>
      <c r="E59" s="73"/>
      <c r="F59" s="73"/>
      <c r="G59" s="73"/>
      <c r="H59" s="73"/>
      <c r="I59" s="73"/>
      <c r="J59" s="74"/>
      <c r="K59" s="74"/>
      <c r="L59" s="74"/>
      <c r="M59" s="70"/>
    </row>
    <row r="60" spans="1:14" x14ac:dyDescent="0.2">
      <c r="A60" s="59"/>
      <c r="B60" s="141"/>
      <c r="C60" s="54">
        <v>1</v>
      </c>
      <c r="D60" s="75"/>
      <c r="E60" s="47"/>
      <c r="F60" s="54"/>
      <c r="G60" s="54"/>
      <c r="H60" s="54"/>
      <c r="I60" s="54"/>
      <c r="J60" s="56">
        <f t="shared" ref="J60:J61" si="22">F60*G60*H60</f>
        <v>0</v>
      </c>
      <c r="K60" s="57">
        <f>J60</f>
        <v>0</v>
      </c>
      <c r="L60" s="58"/>
      <c r="M60" s="47"/>
    </row>
    <row r="61" spans="1:14" x14ac:dyDescent="0.2">
      <c r="A61" s="59"/>
      <c r="B61" s="142"/>
      <c r="C61" s="54">
        <v>2</v>
      </c>
      <c r="D61" s="75"/>
      <c r="E61" s="47"/>
      <c r="F61" s="54"/>
      <c r="G61" s="54"/>
      <c r="H61" s="54"/>
      <c r="I61" s="54"/>
      <c r="J61" s="56">
        <f t="shared" si="22"/>
        <v>0</v>
      </c>
      <c r="K61" s="57">
        <f t="shared" ref="K61" si="23">J61</f>
        <v>0</v>
      </c>
      <c r="L61" s="58"/>
      <c r="M61" s="47"/>
    </row>
    <row r="62" spans="1:14" x14ac:dyDescent="0.2">
      <c r="A62" s="59"/>
      <c r="B62" s="148"/>
      <c r="C62" s="77" t="s">
        <v>66</v>
      </c>
      <c r="D62" s="78"/>
      <c r="E62" s="79"/>
      <c r="F62" s="78"/>
      <c r="G62" s="78"/>
      <c r="H62" s="78"/>
      <c r="I62" s="80"/>
      <c r="J62" s="81">
        <f>SUM(J60:J61)</f>
        <v>0</v>
      </c>
      <c r="K62" s="82">
        <f>SUM(K60:K61)</f>
        <v>0</v>
      </c>
      <c r="L62" s="83">
        <f>SUM(L60:L61)</f>
        <v>0</v>
      </c>
      <c r="M62" s="47"/>
      <c r="N62" s="65"/>
    </row>
    <row r="63" spans="1:14" ht="15" customHeight="1" x14ac:dyDescent="0.2">
      <c r="A63" s="59"/>
      <c r="B63" s="139" t="s">
        <v>68</v>
      </c>
      <c r="C63" s="140"/>
      <c r="D63" s="85"/>
      <c r="E63" s="86"/>
      <c r="F63" s="85"/>
      <c r="G63" s="85"/>
      <c r="H63" s="85"/>
      <c r="I63" s="87"/>
      <c r="J63" s="88">
        <f>SUM(J58,J62)</f>
        <v>0</v>
      </c>
      <c r="K63" s="88">
        <f t="shared" ref="K63:L63" si="24">SUM(K58,K62)</f>
        <v>0</v>
      </c>
      <c r="L63" s="88">
        <f t="shared" si="24"/>
        <v>0</v>
      </c>
      <c r="M63" s="47"/>
      <c r="N63" s="65"/>
    </row>
    <row r="64" spans="1:14" ht="15" customHeight="1" x14ac:dyDescent="0.2">
      <c r="A64" s="89" t="s">
        <v>81</v>
      </c>
      <c r="B64" s="90"/>
      <c r="C64" s="91"/>
      <c r="D64" s="92"/>
      <c r="E64" s="93"/>
      <c r="F64" s="92"/>
      <c r="G64" s="92"/>
      <c r="H64" s="92"/>
      <c r="I64" s="94"/>
      <c r="J64" s="95"/>
      <c r="K64" s="95"/>
      <c r="L64" s="95"/>
      <c r="M64" s="47"/>
      <c r="N64" s="65"/>
    </row>
    <row r="65" spans="1:13" ht="15.75" customHeight="1" x14ac:dyDescent="0.2">
      <c r="A65" s="96" t="s">
        <v>41</v>
      </c>
      <c r="B65" s="50"/>
      <c r="C65" s="50"/>
      <c r="D65" s="62"/>
      <c r="E65" s="62"/>
      <c r="F65" s="62"/>
      <c r="G65" s="62"/>
      <c r="H65" s="62"/>
      <c r="I65" s="97"/>
      <c r="J65" s="98"/>
      <c r="K65" s="98"/>
      <c r="L65" s="98"/>
      <c r="M65" s="47"/>
    </row>
    <row r="66" spans="1:13" ht="15.75" customHeight="1" x14ac:dyDescent="0.2">
      <c r="A66" s="99" t="s">
        <v>45</v>
      </c>
      <c r="B66" s="100"/>
      <c r="C66" s="100"/>
      <c r="D66" s="100"/>
      <c r="E66" s="100"/>
      <c r="F66" s="100"/>
      <c r="G66" s="100"/>
      <c r="H66" s="100"/>
      <c r="I66" s="100"/>
      <c r="J66" s="101"/>
      <c r="K66" s="101"/>
      <c r="L66" s="101"/>
      <c r="M66" s="47"/>
    </row>
    <row r="67" spans="1:13" ht="15.75" customHeight="1" x14ac:dyDescent="0.2">
      <c r="A67" s="102" t="s">
        <v>31</v>
      </c>
      <c r="B67" s="100" t="s">
        <v>44</v>
      </c>
      <c r="C67" s="100"/>
      <c r="D67" s="100"/>
      <c r="E67" s="100"/>
      <c r="F67" s="100"/>
      <c r="G67" s="100"/>
      <c r="H67" s="100"/>
      <c r="I67" s="100"/>
      <c r="J67" s="101"/>
      <c r="K67" s="101"/>
      <c r="L67" s="101"/>
      <c r="M67" s="47"/>
    </row>
    <row r="68" spans="1:13" ht="19.5" x14ac:dyDescent="0.2">
      <c r="A68" s="53"/>
      <c r="B68" s="103" t="s">
        <v>16</v>
      </c>
      <c r="C68" s="103" t="s">
        <v>14</v>
      </c>
      <c r="D68" s="104" t="s">
        <v>34</v>
      </c>
      <c r="E68" s="105" t="s">
        <v>97</v>
      </c>
      <c r="F68" s="103"/>
      <c r="G68" s="103"/>
      <c r="H68" s="103"/>
      <c r="I68" s="103"/>
      <c r="J68" s="106"/>
      <c r="K68" s="106"/>
      <c r="L68" s="107"/>
      <c r="M68" s="47"/>
    </row>
    <row r="69" spans="1:13" x14ac:dyDescent="0.2">
      <c r="A69" s="59"/>
      <c r="B69" s="141"/>
      <c r="C69" s="54">
        <v>1</v>
      </c>
      <c r="D69" s="108" t="s">
        <v>36</v>
      </c>
      <c r="E69" s="47"/>
      <c r="F69" s="54"/>
      <c r="G69" s="54"/>
      <c r="H69" s="54"/>
      <c r="I69" s="54" t="s">
        <v>30</v>
      </c>
      <c r="J69" s="56">
        <f t="shared" ref="J69:J72" si="25">F69*G69*H69</f>
        <v>0</v>
      </c>
      <c r="K69" s="57">
        <f>J69</f>
        <v>0</v>
      </c>
      <c r="L69" s="58"/>
      <c r="M69" s="47"/>
    </row>
    <row r="70" spans="1:13" x14ac:dyDescent="0.2">
      <c r="A70" s="59"/>
      <c r="B70" s="142"/>
      <c r="C70" s="54">
        <v>2</v>
      </c>
      <c r="D70" s="108" t="s">
        <v>37</v>
      </c>
      <c r="E70" s="47"/>
      <c r="F70" s="54"/>
      <c r="G70" s="54"/>
      <c r="H70" s="54"/>
      <c r="I70" s="54" t="s">
        <v>30</v>
      </c>
      <c r="J70" s="56">
        <f t="shared" si="25"/>
        <v>0</v>
      </c>
      <c r="K70" s="57">
        <f t="shared" ref="K70:K72" si="26">J70</f>
        <v>0</v>
      </c>
      <c r="L70" s="58"/>
      <c r="M70" s="47"/>
    </row>
    <row r="71" spans="1:13" x14ac:dyDescent="0.2">
      <c r="A71" s="59"/>
      <c r="B71" s="142"/>
      <c r="C71" s="54">
        <v>3</v>
      </c>
      <c r="D71" s="108" t="s">
        <v>38</v>
      </c>
      <c r="E71" s="47"/>
      <c r="F71" s="54"/>
      <c r="G71" s="54"/>
      <c r="H71" s="54"/>
      <c r="I71" s="54" t="s">
        <v>30</v>
      </c>
      <c r="J71" s="56">
        <f t="shared" si="25"/>
        <v>0</v>
      </c>
      <c r="K71" s="57">
        <f t="shared" si="26"/>
        <v>0</v>
      </c>
      <c r="L71" s="58"/>
      <c r="M71" s="47"/>
    </row>
    <row r="72" spans="1:13" x14ac:dyDescent="0.2">
      <c r="A72" s="59"/>
      <c r="B72" s="142"/>
      <c r="C72" s="109">
        <v>4</v>
      </c>
      <c r="D72" s="110" t="s">
        <v>39</v>
      </c>
      <c r="E72" s="111"/>
      <c r="F72" s="109"/>
      <c r="G72" s="109"/>
      <c r="H72" s="109"/>
      <c r="I72" s="109" t="s">
        <v>30</v>
      </c>
      <c r="J72" s="56">
        <f t="shared" si="25"/>
        <v>0</v>
      </c>
      <c r="K72" s="57">
        <f t="shared" si="26"/>
        <v>0</v>
      </c>
      <c r="L72" s="58"/>
      <c r="M72" s="47"/>
    </row>
    <row r="73" spans="1:13" x14ac:dyDescent="0.2">
      <c r="A73" s="59"/>
      <c r="B73" s="143"/>
      <c r="C73" s="77" t="s">
        <v>32</v>
      </c>
      <c r="D73" s="78"/>
      <c r="E73" s="79"/>
      <c r="F73" s="78"/>
      <c r="G73" s="78"/>
      <c r="H73" s="78"/>
      <c r="I73" s="80"/>
      <c r="J73" s="81">
        <f>SUM(J69:J72)</f>
        <v>0</v>
      </c>
      <c r="K73" s="82">
        <f>SUM(K69:K72)</f>
        <v>0</v>
      </c>
      <c r="L73" s="83">
        <f>SUM(L69:L72)</f>
        <v>0</v>
      </c>
      <c r="M73" s="47"/>
    </row>
    <row r="74" spans="1:13" ht="19.5" x14ac:dyDescent="0.2">
      <c r="A74" s="59"/>
      <c r="B74" s="103" t="s">
        <v>17</v>
      </c>
      <c r="C74" s="112" t="s">
        <v>9</v>
      </c>
      <c r="D74" s="113" t="s">
        <v>35</v>
      </c>
      <c r="E74" s="105" t="s">
        <v>97</v>
      </c>
      <c r="F74" s="114"/>
      <c r="G74" s="114"/>
      <c r="H74" s="114"/>
      <c r="I74" s="115"/>
      <c r="J74" s="116"/>
      <c r="K74" s="116"/>
      <c r="L74" s="116"/>
      <c r="M74" s="47"/>
    </row>
    <row r="75" spans="1:13" x14ac:dyDescent="0.2">
      <c r="A75" s="59"/>
      <c r="B75" s="141"/>
      <c r="C75" s="54">
        <v>1</v>
      </c>
      <c r="D75" s="117"/>
      <c r="E75" s="117"/>
      <c r="F75" s="118"/>
      <c r="G75" s="118"/>
      <c r="H75" s="118"/>
      <c r="I75" s="54" t="s">
        <v>1</v>
      </c>
      <c r="J75" s="56">
        <f t="shared" ref="J75:J78" si="27">F75*G75*H75</f>
        <v>0</v>
      </c>
      <c r="K75" s="57">
        <f>J75</f>
        <v>0</v>
      </c>
      <c r="L75" s="58">
        <v>0</v>
      </c>
      <c r="M75" s="47"/>
    </row>
    <row r="76" spans="1:13" x14ac:dyDescent="0.2">
      <c r="A76" s="59"/>
      <c r="B76" s="142"/>
      <c r="C76" s="54">
        <v>2</v>
      </c>
      <c r="D76" s="117"/>
      <c r="E76" s="117"/>
      <c r="F76" s="54"/>
      <c r="G76" s="118"/>
      <c r="H76" s="118"/>
      <c r="I76" s="54" t="s">
        <v>1</v>
      </c>
      <c r="J76" s="56">
        <f t="shared" si="27"/>
        <v>0</v>
      </c>
      <c r="K76" s="57">
        <f t="shared" ref="K76:K78" si="28">J76</f>
        <v>0</v>
      </c>
      <c r="L76" s="58">
        <v>0</v>
      </c>
      <c r="M76" s="47"/>
    </row>
    <row r="77" spans="1:13" x14ac:dyDescent="0.2">
      <c r="A77" s="59"/>
      <c r="B77" s="142"/>
      <c r="C77" s="54">
        <v>3</v>
      </c>
      <c r="D77" s="117"/>
      <c r="E77" s="117"/>
      <c r="F77" s="54"/>
      <c r="G77" s="118"/>
      <c r="H77" s="118"/>
      <c r="I77" s="54" t="s">
        <v>1</v>
      </c>
      <c r="J77" s="56">
        <f t="shared" si="27"/>
        <v>0</v>
      </c>
      <c r="K77" s="57">
        <f t="shared" si="28"/>
        <v>0</v>
      </c>
      <c r="L77" s="58">
        <v>0</v>
      </c>
      <c r="M77" s="47"/>
    </row>
    <row r="78" spans="1:13" x14ac:dyDescent="0.2">
      <c r="A78" s="59"/>
      <c r="B78" s="142"/>
      <c r="C78" s="109">
        <v>4</v>
      </c>
      <c r="D78" s="119"/>
      <c r="E78" s="119"/>
      <c r="F78" s="109"/>
      <c r="G78" s="109"/>
      <c r="H78" s="109"/>
      <c r="I78" s="54" t="s">
        <v>1</v>
      </c>
      <c r="J78" s="56">
        <f t="shared" si="27"/>
        <v>0</v>
      </c>
      <c r="K78" s="57">
        <f t="shared" si="28"/>
        <v>0</v>
      </c>
      <c r="L78" s="58">
        <v>0</v>
      </c>
      <c r="M78" s="47"/>
    </row>
    <row r="79" spans="1:13" x14ac:dyDescent="0.2">
      <c r="A79" s="59"/>
      <c r="B79" s="143"/>
      <c r="C79" s="77" t="s">
        <v>33</v>
      </c>
      <c r="D79" s="78"/>
      <c r="E79" s="79"/>
      <c r="F79" s="78"/>
      <c r="G79" s="78"/>
      <c r="H79" s="120"/>
      <c r="I79" s="80"/>
      <c r="J79" s="82">
        <f>SUM(J75:J78)</f>
        <v>0</v>
      </c>
      <c r="K79" s="82">
        <f>SUM(K75:K78)</f>
        <v>0</v>
      </c>
      <c r="L79" s="83">
        <f>SUM(L75:L78)</f>
        <v>0</v>
      </c>
      <c r="M79" s="47"/>
    </row>
    <row r="80" spans="1:13" x14ac:dyDescent="0.2">
      <c r="A80" s="96" t="s">
        <v>42</v>
      </c>
      <c r="B80" s="50"/>
      <c r="C80" s="50"/>
      <c r="D80" s="62"/>
      <c r="E80" s="62"/>
      <c r="F80" s="62"/>
      <c r="G80" s="62"/>
      <c r="H80" s="62"/>
      <c r="I80" s="97"/>
      <c r="J80" s="63">
        <f>J79+J73</f>
        <v>0</v>
      </c>
      <c r="K80" s="63">
        <f t="shared" ref="K80:L80" si="29">K79+K73</f>
        <v>0</v>
      </c>
      <c r="L80" s="63">
        <f t="shared" si="29"/>
        <v>0</v>
      </c>
      <c r="M80" s="47"/>
    </row>
    <row r="81" spans="1:13" ht="20.25" customHeight="1" x14ac:dyDescent="0.2">
      <c r="A81" s="121" t="s">
        <v>40</v>
      </c>
      <c r="B81" s="122"/>
      <c r="C81" s="122"/>
      <c r="D81" s="46"/>
      <c r="E81" s="46"/>
      <c r="F81" s="46"/>
      <c r="G81" s="46"/>
      <c r="H81" s="46"/>
      <c r="I81" s="123"/>
      <c r="J81" s="124">
        <f>J80+J65</f>
        <v>0</v>
      </c>
      <c r="K81" s="124">
        <f>K80+K65</f>
        <v>0</v>
      </c>
      <c r="L81" s="125">
        <f>L80+L65</f>
        <v>0</v>
      </c>
      <c r="M81" s="47"/>
    </row>
    <row r="84" spans="1:13" ht="15.5" x14ac:dyDescent="0.35">
      <c r="D84" s="130" t="s">
        <v>82</v>
      </c>
    </row>
    <row r="85" spans="1:13" ht="137.5" x14ac:dyDescent="0.25">
      <c r="D85" s="131" t="s">
        <v>96</v>
      </c>
    </row>
    <row r="86" spans="1:13" ht="15.5" x14ac:dyDescent="0.35">
      <c r="D86" s="128"/>
    </row>
    <row r="87" spans="1:13" ht="15.5" x14ac:dyDescent="0.35">
      <c r="D87" s="129"/>
    </row>
    <row r="88" spans="1:13" ht="15.5" x14ac:dyDescent="0.35">
      <c r="D88" s="129"/>
    </row>
    <row r="89" spans="1:13" ht="15.5" x14ac:dyDescent="0.35">
      <c r="D89" s="129"/>
    </row>
    <row r="90" spans="1:13" ht="15.5" x14ac:dyDescent="0.35">
      <c r="D90" s="129"/>
    </row>
    <row r="91" spans="1:13" ht="15.5" x14ac:dyDescent="0.35">
      <c r="D91" s="129"/>
    </row>
    <row r="92" spans="1:13" ht="15.5" x14ac:dyDescent="0.35">
      <c r="D92" s="129"/>
    </row>
    <row r="93" spans="1:13" ht="15.5" x14ac:dyDescent="0.35">
      <c r="D93" s="129"/>
    </row>
  </sheetData>
  <mergeCells count="34">
    <mergeCell ref="A6:C6"/>
    <mergeCell ref="A1:J1"/>
    <mergeCell ref="K1:L1"/>
    <mergeCell ref="A3:C3"/>
    <mergeCell ref="A4:C4"/>
    <mergeCell ref="A5:C5"/>
    <mergeCell ref="M10:M12"/>
    <mergeCell ref="B13:L13"/>
    <mergeCell ref="A7:C7"/>
    <mergeCell ref="A10:C12"/>
    <mergeCell ref="D10:D12"/>
    <mergeCell ref="E10:E12"/>
    <mergeCell ref="F10:F12"/>
    <mergeCell ref="G10:G12"/>
    <mergeCell ref="H10:H12"/>
    <mergeCell ref="I10:I12"/>
    <mergeCell ref="J10:J12"/>
    <mergeCell ref="K10:L10"/>
    <mergeCell ref="B16:B19"/>
    <mergeCell ref="M16:M19"/>
    <mergeCell ref="B24:B26"/>
    <mergeCell ref="B28:B30"/>
    <mergeCell ref="B32:B34"/>
    <mergeCell ref="B60:B62"/>
    <mergeCell ref="B35:C35"/>
    <mergeCell ref="B63:C63"/>
    <mergeCell ref="B69:B73"/>
    <mergeCell ref="B75:B79"/>
    <mergeCell ref="B38:B40"/>
    <mergeCell ref="B42:B44"/>
    <mergeCell ref="B46:B48"/>
    <mergeCell ref="B50:B52"/>
    <mergeCell ref="B53:C53"/>
    <mergeCell ref="B56:B58"/>
  </mergeCells>
  <printOptions horizontalCentered="1"/>
  <pageMargins left="0.47244094488188981" right="0.70866141732283472" top="0.35433070866141736" bottom="0.51181102362204722" header="0.23622047244094491" footer="0.31496062992125984"/>
  <pageSetup scale="70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C3F0-4B03-4F0D-A458-7FCED029A8CC}">
  <dimension ref="A1:N93"/>
  <sheetViews>
    <sheetView zoomScale="85" zoomScaleNormal="85" workbookViewId="0">
      <selection activeCell="C14" sqref="C14"/>
    </sheetView>
  </sheetViews>
  <sheetFormatPr defaultColWidth="9.1796875" defaultRowHeight="10.5" x14ac:dyDescent="0.25"/>
  <cols>
    <col min="1" max="1" width="3.453125" style="34" customWidth="1"/>
    <col min="2" max="2" width="5.453125" style="126" customWidth="1"/>
    <col min="3" max="3" width="11" style="34" customWidth="1"/>
    <col min="4" max="4" width="38.6328125" style="34" customWidth="1"/>
    <col min="5" max="5" width="16.453125" style="34" customWidth="1"/>
    <col min="6" max="6" width="7" style="127" bestFit="1" customWidth="1"/>
    <col min="7" max="7" width="8.81640625" style="127" bestFit="1" customWidth="1"/>
    <col min="8" max="8" width="15.453125" style="34" customWidth="1"/>
    <col min="9" max="9" width="6.6328125" style="34" bestFit="1" customWidth="1"/>
    <col min="10" max="10" width="13.36328125" style="37" customWidth="1"/>
    <col min="11" max="11" width="20" style="38" customWidth="1"/>
    <col min="12" max="12" width="20" style="39" customWidth="1"/>
    <col min="13" max="13" width="18.6328125" style="34" customWidth="1"/>
    <col min="14" max="14" width="9.453125" style="34" bestFit="1" customWidth="1"/>
    <col min="15" max="16384" width="9.1796875" style="34"/>
  </cols>
  <sheetData>
    <row r="1" spans="1:13" ht="23" x14ac:dyDescent="0.5">
      <c r="A1" s="175" t="s">
        <v>58</v>
      </c>
      <c r="B1" s="176"/>
      <c r="C1" s="176"/>
      <c r="D1" s="176"/>
      <c r="E1" s="176"/>
      <c r="F1" s="176"/>
      <c r="G1" s="176"/>
      <c r="H1" s="176"/>
      <c r="I1" s="176"/>
      <c r="J1" s="177"/>
      <c r="K1" s="178" t="s">
        <v>106</v>
      </c>
      <c r="L1" s="179"/>
    </row>
    <row r="2" spans="1:13" ht="7.5" customHeight="1" x14ac:dyDescent="0.2">
      <c r="A2" s="35"/>
      <c r="B2" s="35"/>
      <c r="C2" s="35"/>
      <c r="D2" s="36"/>
      <c r="E2" s="36"/>
      <c r="F2" s="36"/>
      <c r="G2" s="36"/>
    </row>
    <row r="3" spans="1:13" ht="15.5" x14ac:dyDescent="0.2">
      <c r="A3" s="163" t="s">
        <v>46</v>
      </c>
      <c r="B3" s="163"/>
      <c r="C3" s="163"/>
      <c r="D3" s="40" t="s">
        <v>47</v>
      </c>
      <c r="E3" s="36"/>
      <c r="F3" s="36"/>
      <c r="G3" s="36"/>
    </row>
    <row r="4" spans="1:13" ht="15.5" x14ac:dyDescent="0.2">
      <c r="A4" s="163" t="s">
        <v>62</v>
      </c>
      <c r="B4" s="163"/>
      <c r="C4" s="163"/>
      <c r="D4" s="40" t="s">
        <v>61</v>
      </c>
      <c r="E4" s="36"/>
      <c r="F4" s="36"/>
      <c r="G4" s="36"/>
    </row>
    <row r="5" spans="1:13" ht="15.5" x14ac:dyDescent="0.2">
      <c r="A5" s="163" t="s">
        <v>51</v>
      </c>
      <c r="B5" s="163"/>
      <c r="C5" s="163"/>
      <c r="D5" s="40" t="s">
        <v>47</v>
      </c>
      <c r="E5" s="36"/>
      <c r="F5" s="36"/>
      <c r="G5" s="36"/>
    </row>
    <row r="6" spans="1:13" ht="15.5" x14ac:dyDescent="0.2">
      <c r="A6" s="163" t="s">
        <v>52</v>
      </c>
      <c r="B6" s="163"/>
      <c r="C6" s="163"/>
      <c r="D6" s="40" t="s">
        <v>47</v>
      </c>
      <c r="E6" s="36"/>
      <c r="F6" s="36"/>
      <c r="G6" s="36"/>
    </row>
    <row r="7" spans="1:13" ht="15.5" x14ac:dyDescent="0.2">
      <c r="A7" s="163" t="s">
        <v>60</v>
      </c>
      <c r="B7" s="163"/>
      <c r="C7" s="163"/>
      <c r="D7" s="40" t="s">
        <v>47</v>
      </c>
      <c r="E7" s="36"/>
      <c r="F7" s="36"/>
      <c r="G7" s="36"/>
    </row>
    <row r="8" spans="1:13" ht="15.5" x14ac:dyDescent="0.2">
      <c r="A8" s="40" t="s">
        <v>48</v>
      </c>
      <c r="B8" s="40"/>
      <c r="C8" s="40"/>
      <c r="D8" s="40" t="s">
        <v>49</v>
      </c>
      <c r="E8" s="36"/>
      <c r="F8" s="36"/>
      <c r="G8" s="36"/>
    </row>
    <row r="9" spans="1:13" ht="15.5" x14ac:dyDescent="0.2">
      <c r="B9" s="41"/>
      <c r="C9" s="42"/>
      <c r="D9" s="40"/>
      <c r="E9" s="36"/>
      <c r="F9" s="36"/>
      <c r="G9" s="36"/>
    </row>
    <row r="10" spans="1:13" ht="12" customHeight="1" x14ac:dyDescent="0.2">
      <c r="A10" s="164" t="s">
        <v>0</v>
      </c>
      <c r="B10" s="165"/>
      <c r="C10" s="166"/>
      <c r="D10" s="173" t="s">
        <v>55</v>
      </c>
      <c r="E10" s="173" t="s">
        <v>85</v>
      </c>
      <c r="F10" s="152" t="s">
        <v>26</v>
      </c>
      <c r="G10" s="152" t="s">
        <v>29</v>
      </c>
      <c r="H10" s="149" t="s">
        <v>25</v>
      </c>
      <c r="I10" s="152" t="s">
        <v>27</v>
      </c>
      <c r="J10" s="155" t="s">
        <v>95</v>
      </c>
      <c r="K10" s="158" t="s">
        <v>2</v>
      </c>
      <c r="L10" s="159"/>
      <c r="M10" s="155" t="s">
        <v>78</v>
      </c>
    </row>
    <row r="11" spans="1:13" ht="12" customHeight="1" x14ac:dyDescent="0.2">
      <c r="A11" s="167"/>
      <c r="B11" s="168"/>
      <c r="C11" s="169"/>
      <c r="D11" s="174"/>
      <c r="E11" s="174"/>
      <c r="F11" s="153"/>
      <c r="G11" s="153"/>
      <c r="H11" s="150"/>
      <c r="I11" s="153"/>
      <c r="J11" s="156"/>
      <c r="K11" s="43" t="s">
        <v>3</v>
      </c>
      <c r="L11" s="44" t="s">
        <v>4</v>
      </c>
      <c r="M11" s="156"/>
    </row>
    <row r="12" spans="1:13" ht="12" customHeight="1" x14ac:dyDescent="0.2">
      <c r="A12" s="170"/>
      <c r="B12" s="171"/>
      <c r="C12" s="172"/>
      <c r="D12" s="174"/>
      <c r="E12" s="174"/>
      <c r="F12" s="154"/>
      <c r="G12" s="154"/>
      <c r="H12" s="151"/>
      <c r="I12" s="154"/>
      <c r="J12" s="157"/>
      <c r="K12" s="44" t="s">
        <v>5</v>
      </c>
      <c r="L12" s="44" t="s">
        <v>5</v>
      </c>
      <c r="M12" s="157"/>
    </row>
    <row r="13" spans="1:13" ht="15.75" customHeight="1" x14ac:dyDescent="0.2">
      <c r="A13" s="45" t="s">
        <v>15</v>
      </c>
      <c r="B13" s="162" t="s">
        <v>43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47"/>
    </row>
    <row r="14" spans="1:13" ht="15.75" customHeight="1" x14ac:dyDescent="0.2">
      <c r="A14" s="48"/>
      <c r="B14" s="49" t="s">
        <v>16</v>
      </c>
      <c r="C14" s="50" t="s">
        <v>115</v>
      </c>
      <c r="D14" s="50"/>
      <c r="E14" s="50"/>
      <c r="F14" s="50"/>
      <c r="G14" s="50"/>
      <c r="H14" s="50"/>
      <c r="I14" s="50"/>
      <c r="J14" s="50"/>
      <c r="K14" s="50"/>
      <c r="L14" s="50"/>
      <c r="M14" s="47"/>
    </row>
    <row r="15" spans="1:13" x14ac:dyDescent="0.2">
      <c r="A15" s="48"/>
      <c r="B15" s="51" t="s">
        <v>11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47"/>
    </row>
    <row r="16" spans="1:13" x14ac:dyDescent="0.2">
      <c r="A16" s="53"/>
      <c r="B16" s="160"/>
      <c r="C16" s="54">
        <v>1</v>
      </c>
      <c r="D16" s="55" t="s">
        <v>90</v>
      </c>
      <c r="E16" s="47" t="s">
        <v>86</v>
      </c>
      <c r="F16" s="54"/>
      <c r="G16" s="54"/>
      <c r="H16" s="54"/>
      <c r="I16" s="54" t="s">
        <v>28</v>
      </c>
      <c r="J16" s="56">
        <f>F16*G16*H16</f>
        <v>0</v>
      </c>
      <c r="K16" s="57">
        <f>J16</f>
        <v>0</v>
      </c>
      <c r="L16" s="58"/>
      <c r="M16" s="146" t="s">
        <v>77</v>
      </c>
    </row>
    <row r="17" spans="1:14" x14ac:dyDescent="0.2">
      <c r="A17" s="59"/>
      <c r="B17" s="161"/>
      <c r="C17" s="54">
        <v>2</v>
      </c>
      <c r="D17" s="55" t="s">
        <v>90</v>
      </c>
      <c r="E17" s="47" t="s">
        <v>87</v>
      </c>
      <c r="F17" s="54"/>
      <c r="G17" s="54"/>
      <c r="H17" s="54"/>
      <c r="I17" s="54" t="s">
        <v>28</v>
      </c>
      <c r="J17" s="56">
        <f t="shared" ref="J17:J19" si="0">F17*G17*H17</f>
        <v>0</v>
      </c>
      <c r="K17" s="57">
        <f t="shared" ref="K17:K19" si="1">J17</f>
        <v>0</v>
      </c>
      <c r="L17" s="58"/>
      <c r="M17" s="147"/>
    </row>
    <row r="18" spans="1:14" x14ac:dyDescent="0.2">
      <c r="A18" s="59"/>
      <c r="B18" s="161"/>
      <c r="C18" s="54">
        <v>3</v>
      </c>
      <c r="D18" s="55" t="s">
        <v>90</v>
      </c>
      <c r="E18" s="47" t="s">
        <v>88</v>
      </c>
      <c r="F18" s="54"/>
      <c r="G18" s="54"/>
      <c r="H18" s="54"/>
      <c r="I18" s="54" t="s">
        <v>28</v>
      </c>
      <c r="J18" s="56">
        <f t="shared" si="0"/>
        <v>0</v>
      </c>
      <c r="K18" s="57">
        <f t="shared" si="1"/>
        <v>0</v>
      </c>
      <c r="L18" s="58"/>
      <c r="M18" s="147"/>
    </row>
    <row r="19" spans="1:14" x14ac:dyDescent="0.2">
      <c r="A19" s="59"/>
      <c r="B19" s="161"/>
      <c r="C19" s="54">
        <v>4</v>
      </c>
      <c r="D19" s="55" t="s">
        <v>90</v>
      </c>
      <c r="E19" s="47" t="s">
        <v>89</v>
      </c>
      <c r="F19" s="54"/>
      <c r="G19" s="54"/>
      <c r="H19" s="54"/>
      <c r="I19" s="54" t="s">
        <v>28</v>
      </c>
      <c r="J19" s="56">
        <f t="shared" si="0"/>
        <v>0</v>
      </c>
      <c r="K19" s="57">
        <f t="shared" si="1"/>
        <v>0</v>
      </c>
      <c r="L19" s="58"/>
      <c r="M19" s="147"/>
    </row>
    <row r="20" spans="1:14" x14ac:dyDescent="0.2">
      <c r="A20" s="60"/>
      <c r="B20" s="61" t="s">
        <v>91</v>
      </c>
      <c r="C20" s="62"/>
      <c r="D20" s="62"/>
      <c r="E20" s="62"/>
      <c r="F20" s="62"/>
      <c r="G20" s="62"/>
      <c r="H20" s="62"/>
      <c r="I20" s="62"/>
      <c r="J20" s="63">
        <f>SUM(J16:J19)</f>
        <v>0</v>
      </c>
      <c r="K20" s="63">
        <f>SUM(K16:K19)</f>
        <v>0</v>
      </c>
      <c r="L20" s="64">
        <f>SUM(L16:L19)</f>
        <v>0</v>
      </c>
      <c r="M20" s="47"/>
      <c r="N20" s="65"/>
    </row>
    <row r="21" spans="1:14" ht="15.75" customHeight="1" x14ac:dyDescent="0.2">
      <c r="A21" s="48"/>
      <c r="B21" s="49" t="s">
        <v>17</v>
      </c>
      <c r="C21" s="50" t="s">
        <v>10</v>
      </c>
      <c r="D21" s="50"/>
      <c r="E21" s="50"/>
      <c r="F21" s="50"/>
      <c r="G21" s="50"/>
      <c r="H21" s="50"/>
      <c r="I21" s="50"/>
      <c r="J21" s="66"/>
      <c r="K21" s="66"/>
      <c r="L21" s="66"/>
      <c r="M21" s="47"/>
    </row>
    <row r="22" spans="1:14" ht="14" x14ac:dyDescent="0.3">
      <c r="A22" s="48"/>
      <c r="B22" s="67" t="s">
        <v>12</v>
      </c>
      <c r="C22" s="68" t="s">
        <v>63</v>
      </c>
      <c r="D22" s="132" t="s">
        <v>92</v>
      </c>
      <c r="E22" s="52"/>
      <c r="F22" s="52"/>
      <c r="G22" s="52"/>
      <c r="H22" s="52"/>
      <c r="I22" s="52"/>
      <c r="J22" s="69"/>
      <c r="K22" s="69"/>
      <c r="L22" s="69"/>
      <c r="M22" s="70"/>
    </row>
    <row r="23" spans="1:14" ht="14" x14ac:dyDescent="0.3">
      <c r="A23" s="48"/>
      <c r="B23" s="71" t="s">
        <v>18</v>
      </c>
      <c r="C23" s="72" t="s">
        <v>64</v>
      </c>
      <c r="D23" s="73"/>
      <c r="E23" s="73"/>
      <c r="F23" s="73"/>
      <c r="G23" s="73"/>
      <c r="H23" s="73"/>
      <c r="I23" s="73"/>
      <c r="J23" s="74"/>
      <c r="K23" s="74"/>
      <c r="L23" s="74"/>
      <c r="M23" s="70"/>
    </row>
    <row r="24" spans="1:14" ht="12.5" x14ac:dyDescent="0.2">
      <c r="A24" s="59"/>
      <c r="B24" s="141"/>
      <c r="C24" s="54">
        <v>1</v>
      </c>
      <c r="D24" s="75"/>
      <c r="E24" s="47"/>
      <c r="F24" s="54"/>
      <c r="G24" s="54"/>
      <c r="H24" s="54"/>
      <c r="I24" s="54"/>
      <c r="J24" s="56">
        <f t="shared" ref="J24:J25" si="2">F24*G24*H24</f>
        <v>0</v>
      </c>
      <c r="K24" s="57">
        <f>J24</f>
        <v>0</v>
      </c>
      <c r="L24" s="58"/>
      <c r="M24" s="76" t="s">
        <v>79</v>
      </c>
    </row>
    <row r="25" spans="1:14" ht="12.5" x14ac:dyDescent="0.2">
      <c r="A25" s="59"/>
      <c r="B25" s="142"/>
      <c r="C25" s="54">
        <v>2</v>
      </c>
      <c r="D25" s="75"/>
      <c r="E25" s="47"/>
      <c r="F25" s="54"/>
      <c r="G25" s="54"/>
      <c r="H25" s="54"/>
      <c r="I25" s="54"/>
      <c r="J25" s="56">
        <f t="shared" si="2"/>
        <v>0</v>
      </c>
      <c r="K25" s="57">
        <f t="shared" ref="K25" si="3">J25</f>
        <v>0</v>
      </c>
      <c r="L25" s="58"/>
      <c r="M25" s="76" t="s">
        <v>79</v>
      </c>
    </row>
    <row r="26" spans="1:14" ht="12.5" x14ac:dyDescent="0.2">
      <c r="A26" s="59"/>
      <c r="B26" s="143"/>
      <c r="C26" s="77" t="s">
        <v>66</v>
      </c>
      <c r="D26" s="78"/>
      <c r="E26" s="79"/>
      <c r="F26" s="78"/>
      <c r="G26" s="78"/>
      <c r="H26" s="78"/>
      <c r="I26" s="80"/>
      <c r="J26" s="81">
        <f>SUM(J24:J25)</f>
        <v>0</v>
      </c>
      <c r="K26" s="82">
        <f>SUM(K24:K25)</f>
        <v>0</v>
      </c>
      <c r="L26" s="83">
        <f>SUM(L24:L25)</f>
        <v>0</v>
      </c>
      <c r="M26" s="76" t="s">
        <v>80</v>
      </c>
      <c r="N26" s="65"/>
    </row>
    <row r="27" spans="1:14" ht="14" x14ac:dyDescent="0.3">
      <c r="A27" s="48"/>
      <c r="B27" s="71" t="s">
        <v>19</v>
      </c>
      <c r="C27" s="72" t="s">
        <v>65</v>
      </c>
      <c r="D27" s="73"/>
      <c r="E27" s="73"/>
      <c r="F27" s="73"/>
      <c r="G27" s="73"/>
      <c r="H27" s="73"/>
      <c r="I27" s="73"/>
      <c r="J27" s="74"/>
      <c r="K27" s="74"/>
      <c r="L27" s="74"/>
      <c r="M27" s="70"/>
    </row>
    <row r="28" spans="1:14" x14ac:dyDescent="0.2">
      <c r="A28" s="59"/>
      <c r="B28" s="141"/>
      <c r="C28" s="54">
        <v>1</v>
      </c>
      <c r="D28" s="75"/>
      <c r="E28" s="47"/>
      <c r="F28" s="54"/>
      <c r="G28" s="54"/>
      <c r="H28" s="54"/>
      <c r="I28" s="54"/>
      <c r="J28" s="56">
        <f t="shared" ref="J28:J29" si="4">F28*G28*H28</f>
        <v>0</v>
      </c>
      <c r="K28" s="57">
        <f>J28</f>
        <v>0</v>
      </c>
      <c r="L28" s="58"/>
      <c r="M28" s="47"/>
    </row>
    <row r="29" spans="1:14" x14ac:dyDescent="0.2">
      <c r="A29" s="59"/>
      <c r="B29" s="142"/>
      <c r="C29" s="54">
        <v>2</v>
      </c>
      <c r="D29" s="75"/>
      <c r="E29" s="47"/>
      <c r="F29" s="54"/>
      <c r="G29" s="54"/>
      <c r="H29" s="54"/>
      <c r="I29" s="54"/>
      <c r="J29" s="56">
        <f t="shared" si="4"/>
        <v>0</v>
      </c>
      <c r="K29" s="57">
        <f t="shared" ref="K29" si="5">J29</f>
        <v>0</v>
      </c>
      <c r="L29" s="58"/>
      <c r="M29" s="47"/>
    </row>
    <row r="30" spans="1:14" x14ac:dyDescent="0.2">
      <c r="A30" s="59"/>
      <c r="B30" s="143"/>
      <c r="C30" s="77" t="s">
        <v>66</v>
      </c>
      <c r="D30" s="78"/>
      <c r="E30" s="79"/>
      <c r="F30" s="78"/>
      <c r="G30" s="78"/>
      <c r="H30" s="78"/>
      <c r="I30" s="80"/>
      <c r="J30" s="81">
        <f>SUM(J28:J29)</f>
        <v>0</v>
      </c>
      <c r="K30" s="82">
        <f>SUM(K28:K29)</f>
        <v>0</v>
      </c>
      <c r="L30" s="83">
        <f>SUM(L28:L29)</f>
        <v>0</v>
      </c>
      <c r="M30" s="47"/>
      <c r="N30" s="65"/>
    </row>
    <row r="31" spans="1:14" ht="14" x14ac:dyDescent="0.3">
      <c r="A31" s="48"/>
      <c r="B31" s="71" t="s">
        <v>20</v>
      </c>
      <c r="C31" s="72" t="s">
        <v>67</v>
      </c>
      <c r="D31" s="73"/>
      <c r="E31" s="73"/>
      <c r="F31" s="73"/>
      <c r="G31" s="73"/>
      <c r="H31" s="73"/>
      <c r="I31" s="73"/>
      <c r="J31" s="74"/>
      <c r="K31" s="74"/>
      <c r="L31" s="74"/>
      <c r="M31" s="70"/>
    </row>
    <row r="32" spans="1:14" x14ac:dyDescent="0.2">
      <c r="A32" s="59"/>
      <c r="B32" s="144"/>
      <c r="C32" s="54">
        <v>1</v>
      </c>
      <c r="D32" s="75"/>
      <c r="E32" s="47"/>
      <c r="F32" s="54"/>
      <c r="G32" s="54"/>
      <c r="H32" s="54"/>
      <c r="I32" s="54"/>
      <c r="J32" s="56">
        <f t="shared" ref="J32:J33" si="6">F32*G32*H32</f>
        <v>0</v>
      </c>
      <c r="K32" s="57">
        <f>J32</f>
        <v>0</v>
      </c>
      <c r="L32" s="58"/>
      <c r="M32" s="47"/>
    </row>
    <row r="33" spans="1:14" x14ac:dyDescent="0.2">
      <c r="A33" s="59"/>
      <c r="B33" s="145"/>
      <c r="C33" s="54">
        <v>2</v>
      </c>
      <c r="D33" s="75"/>
      <c r="E33" s="47"/>
      <c r="F33" s="54"/>
      <c r="G33" s="54"/>
      <c r="H33" s="54"/>
      <c r="I33" s="54"/>
      <c r="J33" s="56">
        <f t="shared" si="6"/>
        <v>0</v>
      </c>
      <c r="K33" s="57">
        <f t="shared" ref="K33" si="7">J33</f>
        <v>0</v>
      </c>
      <c r="L33" s="58"/>
      <c r="M33" s="47"/>
    </row>
    <row r="34" spans="1:14" x14ac:dyDescent="0.2">
      <c r="A34" s="59"/>
      <c r="B34" s="145"/>
      <c r="C34" s="84" t="s">
        <v>66</v>
      </c>
      <c r="D34" s="78"/>
      <c r="E34" s="79"/>
      <c r="F34" s="78"/>
      <c r="G34" s="78"/>
      <c r="H34" s="78"/>
      <c r="I34" s="80"/>
      <c r="J34" s="81">
        <f t="shared" ref="J34:L34" si="8">SUM(J32:J33)</f>
        <v>0</v>
      </c>
      <c r="K34" s="82">
        <f t="shared" si="8"/>
        <v>0</v>
      </c>
      <c r="L34" s="83">
        <f t="shared" si="8"/>
        <v>0</v>
      </c>
      <c r="M34" s="47"/>
      <c r="N34" s="65"/>
    </row>
    <row r="35" spans="1:14" ht="15" customHeight="1" x14ac:dyDescent="0.2">
      <c r="A35" s="59"/>
      <c r="B35" s="139" t="s">
        <v>68</v>
      </c>
      <c r="C35" s="140"/>
      <c r="D35" s="85"/>
      <c r="E35" s="86"/>
      <c r="F35" s="85"/>
      <c r="G35" s="85"/>
      <c r="H35" s="85"/>
      <c r="I35" s="87"/>
      <c r="J35" s="88">
        <f>SUM(J26,J30,J34)</f>
        <v>0</v>
      </c>
      <c r="K35" s="88">
        <f t="shared" ref="K35:L35" si="9">SUM(K26,K30,K34)</f>
        <v>0</v>
      </c>
      <c r="L35" s="88">
        <f t="shared" si="9"/>
        <v>0</v>
      </c>
      <c r="M35" s="47"/>
      <c r="N35" s="65"/>
    </row>
    <row r="36" spans="1:14" ht="14" x14ac:dyDescent="0.3">
      <c r="A36" s="48"/>
      <c r="B36" s="67" t="s">
        <v>13</v>
      </c>
      <c r="C36" s="68" t="s">
        <v>72</v>
      </c>
      <c r="D36" s="132" t="s">
        <v>93</v>
      </c>
      <c r="E36" s="52"/>
      <c r="F36" s="52"/>
      <c r="G36" s="52"/>
      <c r="H36" s="52"/>
      <c r="I36" s="52"/>
      <c r="J36" s="69"/>
      <c r="K36" s="69"/>
      <c r="L36" s="69"/>
      <c r="M36" s="70"/>
    </row>
    <row r="37" spans="1:14" ht="14" x14ac:dyDescent="0.3">
      <c r="A37" s="48"/>
      <c r="B37" s="71" t="s">
        <v>21</v>
      </c>
      <c r="C37" s="72" t="s">
        <v>69</v>
      </c>
      <c r="D37" s="73"/>
      <c r="E37" s="73"/>
      <c r="F37" s="73"/>
      <c r="G37" s="73"/>
      <c r="H37" s="73"/>
      <c r="I37" s="73"/>
      <c r="J37" s="74"/>
      <c r="K37" s="74"/>
      <c r="L37" s="74"/>
      <c r="M37" s="70"/>
    </row>
    <row r="38" spans="1:14" x14ac:dyDescent="0.2">
      <c r="A38" s="59"/>
      <c r="B38" s="141"/>
      <c r="C38" s="54">
        <v>1</v>
      </c>
      <c r="D38" s="75"/>
      <c r="E38" s="47"/>
      <c r="F38" s="54"/>
      <c r="G38" s="54"/>
      <c r="H38" s="54"/>
      <c r="I38" s="54"/>
      <c r="J38" s="56">
        <f t="shared" ref="J38:J39" si="10">F38*G38*H38</f>
        <v>0</v>
      </c>
      <c r="K38" s="57">
        <f>J38</f>
        <v>0</v>
      </c>
      <c r="L38" s="58"/>
      <c r="M38" s="47"/>
    </row>
    <row r="39" spans="1:14" x14ac:dyDescent="0.2">
      <c r="A39" s="59"/>
      <c r="B39" s="142"/>
      <c r="C39" s="54">
        <v>2</v>
      </c>
      <c r="D39" s="75"/>
      <c r="E39" s="47"/>
      <c r="F39" s="54"/>
      <c r="G39" s="54"/>
      <c r="H39" s="54"/>
      <c r="I39" s="54"/>
      <c r="J39" s="56">
        <f t="shared" si="10"/>
        <v>0</v>
      </c>
      <c r="K39" s="57">
        <f t="shared" ref="K39" si="11">J39</f>
        <v>0</v>
      </c>
      <c r="L39" s="58"/>
      <c r="M39" s="47"/>
    </row>
    <row r="40" spans="1:14" x14ac:dyDescent="0.2">
      <c r="A40" s="59"/>
      <c r="B40" s="143"/>
      <c r="C40" s="77" t="s">
        <v>66</v>
      </c>
      <c r="D40" s="78"/>
      <c r="E40" s="79"/>
      <c r="F40" s="78"/>
      <c r="G40" s="78"/>
      <c r="H40" s="78"/>
      <c r="I40" s="80"/>
      <c r="J40" s="81">
        <f>SUM(J38:J39)</f>
        <v>0</v>
      </c>
      <c r="K40" s="82">
        <f>SUM(K38:K39)</f>
        <v>0</v>
      </c>
      <c r="L40" s="83">
        <f>SUM(L38:L39)</f>
        <v>0</v>
      </c>
      <c r="M40" s="47"/>
      <c r="N40" s="65"/>
    </row>
    <row r="41" spans="1:14" ht="14" x14ac:dyDescent="0.3">
      <c r="A41" s="48"/>
      <c r="B41" s="71" t="s">
        <v>22</v>
      </c>
      <c r="C41" s="72" t="s">
        <v>71</v>
      </c>
      <c r="D41" s="73"/>
      <c r="E41" s="73"/>
      <c r="F41" s="73"/>
      <c r="G41" s="73"/>
      <c r="H41" s="73"/>
      <c r="I41" s="73"/>
      <c r="J41" s="74"/>
      <c r="K41" s="74"/>
      <c r="L41" s="74"/>
      <c r="M41" s="70"/>
    </row>
    <row r="42" spans="1:14" x14ac:dyDescent="0.2">
      <c r="A42" s="59"/>
      <c r="B42" s="141"/>
      <c r="C42" s="54">
        <v>1</v>
      </c>
      <c r="D42" s="75"/>
      <c r="E42" s="47"/>
      <c r="F42" s="54"/>
      <c r="G42" s="54"/>
      <c r="H42" s="54"/>
      <c r="I42" s="54"/>
      <c r="J42" s="56">
        <f t="shared" ref="J42:J43" si="12">F42*G42*H42</f>
        <v>0</v>
      </c>
      <c r="K42" s="57">
        <f>J42</f>
        <v>0</v>
      </c>
      <c r="L42" s="58"/>
      <c r="M42" s="47"/>
    </row>
    <row r="43" spans="1:14" x14ac:dyDescent="0.2">
      <c r="A43" s="59"/>
      <c r="B43" s="142"/>
      <c r="C43" s="54">
        <v>2</v>
      </c>
      <c r="D43" s="75"/>
      <c r="E43" s="47"/>
      <c r="F43" s="54"/>
      <c r="G43" s="54"/>
      <c r="H43" s="54"/>
      <c r="I43" s="54"/>
      <c r="J43" s="56">
        <f t="shared" si="12"/>
        <v>0</v>
      </c>
      <c r="K43" s="57">
        <f t="shared" ref="K43" si="13">J43</f>
        <v>0</v>
      </c>
      <c r="L43" s="58"/>
      <c r="M43" s="47"/>
    </row>
    <row r="44" spans="1:14" x14ac:dyDescent="0.2">
      <c r="A44" s="59"/>
      <c r="B44" s="143"/>
      <c r="C44" s="77" t="s">
        <v>66</v>
      </c>
      <c r="D44" s="78"/>
      <c r="E44" s="79"/>
      <c r="F44" s="78"/>
      <c r="G44" s="78"/>
      <c r="H44" s="78"/>
      <c r="I44" s="80"/>
      <c r="J44" s="81">
        <f>SUM(J42:J43)</f>
        <v>0</v>
      </c>
      <c r="K44" s="82">
        <f>SUM(K42:K43)</f>
        <v>0</v>
      </c>
      <c r="L44" s="83">
        <f>SUM(L42:L43)</f>
        <v>0</v>
      </c>
      <c r="M44" s="47"/>
      <c r="N44" s="65"/>
    </row>
    <row r="45" spans="1:14" ht="14" x14ac:dyDescent="0.3">
      <c r="A45" s="48"/>
      <c r="B45" s="71" t="s">
        <v>23</v>
      </c>
      <c r="C45" s="72" t="s">
        <v>70</v>
      </c>
      <c r="D45" s="73"/>
      <c r="E45" s="73"/>
      <c r="F45" s="73"/>
      <c r="G45" s="73"/>
      <c r="H45" s="73"/>
      <c r="I45" s="73"/>
      <c r="J45" s="74"/>
      <c r="K45" s="74"/>
      <c r="L45" s="74"/>
      <c r="M45" s="70"/>
    </row>
    <row r="46" spans="1:14" x14ac:dyDescent="0.2">
      <c r="A46" s="59"/>
      <c r="B46" s="141"/>
      <c r="C46" s="54">
        <v>1</v>
      </c>
      <c r="D46" s="75"/>
      <c r="E46" s="47"/>
      <c r="F46" s="54"/>
      <c r="G46" s="54"/>
      <c r="H46" s="54"/>
      <c r="I46" s="54"/>
      <c r="J46" s="56">
        <f t="shared" ref="J46:J47" si="14">F46*G46*H46</f>
        <v>0</v>
      </c>
      <c r="K46" s="57">
        <f>J46</f>
        <v>0</v>
      </c>
      <c r="L46" s="58"/>
      <c r="M46" s="47"/>
    </row>
    <row r="47" spans="1:14" x14ac:dyDescent="0.2">
      <c r="A47" s="59"/>
      <c r="B47" s="142"/>
      <c r="C47" s="54">
        <v>2</v>
      </c>
      <c r="D47" s="75"/>
      <c r="E47" s="47"/>
      <c r="F47" s="54"/>
      <c r="G47" s="54"/>
      <c r="H47" s="54"/>
      <c r="I47" s="54"/>
      <c r="J47" s="56">
        <f t="shared" si="14"/>
        <v>0</v>
      </c>
      <c r="K47" s="57">
        <f t="shared" ref="K47" si="15">J47</f>
        <v>0</v>
      </c>
      <c r="L47" s="58"/>
      <c r="M47" s="47"/>
    </row>
    <row r="48" spans="1:14" x14ac:dyDescent="0.2">
      <c r="A48" s="59"/>
      <c r="B48" s="143"/>
      <c r="C48" s="77" t="s">
        <v>66</v>
      </c>
      <c r="D48" s="78"/>
      <c r="E48" s="79"/>
      <c r="F48" s="78"/>
      <c r="G48" s="78"/>
      <c r="H48" s="78"/>
      <c r="I48" s="80"/>
      <c r="J48" s="81">
        <f>SUM(J46:J47)</f>
        <v>0</v>
      </c>
      <c r="K48" s="82">
        <f>SUM(K46:K47)</f>
        <v>0</v>
      </c>
      <c r="L48" s="83">
        <f>SUM(L46:L47)</f>
        <v>0</v>
      </c>
      <c r="M48" s="47"/>
      <c r="N48" s="65"/>
    </row>
    <row r="49" spans="1:14" ht="14" x14ac:dyDescent="0.3">
      <c r="A49" s="48"/>
      <c r="B49" s="71" t="s">
        <v>24</v>
      </c>
      <c r="C49" s="72" t="s">
        <v>67</v>
      </c>
      <c r="D49" s="73"/>
      <c r="E49" s="73"/>
      <c r="F49" s="73"/>
      <c r="G49" s="73"/>
      <c r="H49" s="73"/>
      <c r="I49" s="73"/>
      <c r="J49" s="74"/>
      <c r="K49" s="74"/>
      <c r="L49" s="74"/>
      <c r="M49" s="70"/>
    </row>
    <row r="50" spans="1:14" x14ac:dyDescent="0.2">
      <c r="A50" s="59"/>
      <c r="B50" s="144"/>
      <c r="C50" s="54">
        <v>1</v>
      </c>
      <c r="D50" s="75"/>
      <c r="E50" s="47"/>
      <c r="F50" s="54"/>
      <c r="G50" s="54"/>
      <c r="H50" s="54"/>
      <c r="I50" s="54"/>
      <c r="J50" s="56">
        <f t="shared" ref="J50:J51" si="16">F50*G50*H50</f>
        <v>0</v>
      </c>
      <c r="K50" s="57">
        <f>J50</f>
        <v>0</v>
      </c>
      <c r="L50" s="58"/>
      <c r="M50" s="47"/>
    </row>
    <row r="51" spans="1:14" x14ac:dyDescent="0.2">
      <c r="A51" s="59"/>
      <c r="B51" s="145"/>
      <c r="C51" s="54">
        <v>2</v>
      </c>
      <c r="D51" s="75"/>
      <c r="E51" s="47"/>
      <c r="F51" s="54"/>
      <c r="G51" s="54"/>
      <c r="H51" s="54"/>
      <c r="I51" s="54"/>
      <c r="J51" s="56">
        <f t="shared" si="16"/>
        <v>0</v>
      </c>
      <c r="K51" s="57">
        <f t="shared" ref="K51" si="17">J51</f>
        <v>0</v>
      </c>
      <c r="L51" s="58"/>
      <c r="M51" s="47"/>
    </row>
    <row r="52" spans="1:14" x14ac:dyDescent="0.2">
      <c r="A52" s="59"/>
      <c r="B52" s="145"/>
      <c r="C52" s="84" t="s">
        <v>66</v>
      </c>
      <c r="D52" s="78"/>
      <c r="E52" s="79"/>
      <c r="F52" s="78"/>
      <c r="G52" s="78"/>
      <c r="H52" s="78"/>
      <c r="I52" s="80"/>
      <c r="J52" s="81">
        <f t="shared" ref="J52:L52" si="18">SUM(J50:J51)</f>
        <v>0</v>
      </c>
      <c r="K52" s="82">
        <f t="shared" si="18"/>
        <v>0</v>
      </c>
      <c r="L52" s="83">
        <f t="shared" si="18"/>
        <v>0</v>
      </c>
      <c r="M52" s="47"/>
      <c r="N52" s="65"/>
    </row>
    <row r="53" spans="1:14" ht="15" customHeight="1" x14ac:dyDescent="0.2">
      <c r="A53" s="59"/>
      <c r="B53" s="139" t="s">
        <v>68</v>
      </c>
      <c r="C53" s="140"/>
      <c r="D53" s="85"/>
      <c r="E53" s="86"/>
      <c r="F53" s="85"/>
      <c r="G53" s="85"/>
      <c r="H53" s="85"/>
      <c r="I53" s="87"/>
      <c r="J53" s="88">
        <f>SUM(J40,J44,J48,J52)</f>
        <v>0</v>
      </c>
      <c r="K53" s="88">
        <f t="shared" ref="K53:L53" si="19">SUM(K40,K44,K48,K52)</f>
        <v>0</v>
      </c>
      <c r="L53" s="88">
        <f t="shared" si="19"/>
        <v>0</v>
      </c>
      <c r="M53" s="47"/>
      <c r="N53" s="65"/>
    </row>
    <row r="54" spans="1:14" ht="14" x14ac:dyDescent="0.3">
      <c r="A54" s="48"/>
      <c r="B54" s="67" t="s">
        <v>74</v>
      </c>
      <c r="C54" s="68" t="s">
        <v>73</v>
      </c>
      <c r="D54" s="132" t="s">
        <v>94</v>
      </c>
      <c r="E54" s="52"/>
      <c r="F54" s="52"/>
      <c r="G54" s="52"/>
      <c r="H54" s="52"/>
      <c r="I54" s="52"/>
      <c r="J54" s="69"/>
      <c r="K54" s="69"/>
      <c r="L54" s="69"/>
      <c r="M54" s="70"/>
    </row>
    <row r="55" spans="1:14" ht="14" x14ac:dyDescent="0.3">
      <c r="A55" s="48"/>
      <c r="B55" s="71" t="s">
        <v>75</v>
      </c>
      <c r="C55" s="72" t="s">
        <v>69</v>
      </c>
      <c r="D55" s="73"/>
      <c r="E55" s="73"/>
      <c r="F55" s="73"/>
      <c r="G55" s="73"/>
      <c r="H55" s="73"/>
      <c r="I55" s="73"/>
      <c r="J55" s="74"/>
      <c r="K55" s="74"/>
      <c r="L55" s="74"/>
      <c r="M55" s="70"/>
    </row>
    <row r="56" spans="1:14" x14ac:dyDescent="0.2">
      <c r="A56" s="59"/>
      <c r="B56" s="141"/>
      <c r="C56" s="54">
        <v>1</v>
      </c>
      <c r="D56" s="75"/>
      <c r="E56" s="47"/>
      <c r="F56" s="54"/>
      <c r="G56" s="54"/>
      <c r="H56" s="54"/>
      <c r="I56" s="54"/>
      <c r="J56" s="56">
        <f t="shared" ref="J56:J57" si="20">F56*G56*H56</f>
        <v>0</v>
      </c>
      <c r="K56" s="57">
        <f>J56</f>
        <v>0</v>
      </c>
      <c r="L56" s="58"/>
      <c r="M56" s="47"/>
    </row>
    <row r="57" spans="1:14" x14ac:dyDescent="0.2">
      <c r="A57" s="59"/>
      <c r="B57" s="142"/>
      <c r="C57" s="54">
        <v>2</v>
      </c>
      <c r="D57" s="75"/>
      <c r="E57" s="47"/>
      <c r="F57" s="54"/>
      <c r="G57" s="54"/>
      <c r="H57" s="54"/>
      <c r="I57" s="54"/>
      <c r="J57" s="56">
        <f t="shared" si="20"/>
        <v>0</v>
      </c>
      <c r="K57" s="57">
        <f t="shared" ref="K57" si="21">J57</f>
        <v>0</v>
      </c>
      <c r="L57" s="58"/>
      <c r="M57" s="47"/>
    </row>
    <row r="58" spans="1:14" x14ac:dyDescent="0.2">
      <c r="A58" s="59"/>
      <c r="B58" s="143"/>
      <c r="C58" s="77" t="s">
        <v>66</v>
      </c>
      <c r="D58" s="78"/>
      <c r="E58" s="79"/>
      <c r="F58" s="78"/>
      <c r="G58" s="78"/>
      <c r="H58" s="78"/>
      <c r="I58" s="80"/>
      <c r="J58" s="81">
        <f>SUM(J56:J57)</f>
        <v>0</v>
      </c>
      <c r="K58" s="82">
        <f>SUM(K56:K57)</f>
        <v>0</v>
      </c>
      <c r="L58" s="83">
        <f>SUM(L56:L57)</f>
        <v>0</v>
      </c>
      <c r="M58" s="47"/>
      <c r="N58" s="65"/>
    </row>
    <row r="59" spans="1:14" ht="14" x14ac:dyDescent="0.3">
      <c r="A59" s="48"/>
      <c r="B59" s="71" t="s">
        <v>76</v>
      </c>
      <c r="C59" s="72" t="s">
        <v>67</v>
      </c>
      <c r="D59" s="73"/>
      <c r="E59" s="73"/>
      <c r="F59" s="73"/>
      <c r="G59" s="73"/>
      <c r="H59" s="73"/>
      <c r="I59" s="73"/>
      <c r="J59" s="74"/>
      <c r="K59" s="74"/>
      <c r="L59" s="74"/>
      <c r="M59" s="70"/>
    </row>
    <row r="60" spans="1:14" x14ac:dyDescent="0.2">
      <c r="A60" s="59"/>
      <c r="B60" s="141"/>
      <c r="C60" s="54">
        <v>1</v>
      </c>
      <c r="D60" s="75"/>
      <c r="E60" s="47"/>
      <c r="F60" s="54"/>
      <c r="G60" s="54"/>
      <c r="H60" s="54"/>
      <c r="I60" s="54"/>
      <c r="J60" s="56">
        <f t="shared" ref="J60:J61" si="22">F60*G60*H60</f>
        <v>0</v>
      </c>
      <c r="K60" s="57">
        <f>J60</f>
        <v>0</v>
      </c>
      <c r="L60" s="58"/>
      <c r="M60" s="47"/>
    </row>
    <row r="61" spans="1:14" x14ac:dyDescent="0.2">
      <c r="A61" s="59"/>
      <c r="B61" s="142"/>
      <c r="C61" s="54">
        <v>2</v>
      </c>
      <c r="D61" s="75"/>
      <c r="E61" s="47"/>
      <c r="F61" s="54"/>
      <c r="G61" s="54"/>
      <c r="H61" s="54"/>
      <c r="I61" s="54"/>
      <c r="J61" s="56">
        <f t="shared" si="22"/>
        <v>0</v>
      </c>
      <c r="K61" s="57">
        <f t="shared" ref="K61" si="23">J61</f>
        <v>0</v>
      </c>
      <c r="L61" s="58"/>
      <c r="M61" s="47"/>
    </row>
    <row r="62" spans="1:14" x14ac:dyDescent="0.2">
      <c r="A62" s="59"/>
      <c r="B62" s="148"/>
      <c r="C62" s="77" t="s">
        <v>66</v>
      </c>
      <c r="D62" s="78"/>
      <c r="E62" s="79"/>
      <c r="F62" s="78"/>
      <c r="G62" s="78"/>
      <c r="H62" s="78"/>
      <c r="I62" s="80"/>
      <c r="J62" s="81">
        <f>SUM(J60:J61)</f>
        <v>0</v>
      </c>
      <c r="K62" s="82">
        <f>SUM(K60:K61)</f>
        <v>0</v>
      </c>
      <c r="L62" s="83">
        <f>SUM(L60:L61)</f>
        <v>0</v>
      </c>
      <c r="M62" s="47"/>
      <c r="N62" s="65"/>
    </row>
    <row r="63" spans="1:14" ht="15" customHeight="1" x14ac:dyDescent="0.2">
      <c r="A63" s="59"/>
      <c r="B63" s="139" t="s">
        <v>68</v>
      </c>
      <c r="C63" s="140"/>
      <c r="D63" s="85"/>
      <c r="E63" s="86"/>
      <c r="F63" s="85"/>
      <c r="G63" s="85"/>
      <c r="H63" s="85"/>
      <c r="I63" s="87"/>
      <c r="J63" s="88">
        <f>SUM(J58,J62)</f>
        <v>0</v>
      </c>
      <c r="K63" s="88">
        <f t="shared" ref="K63:L63" si="24">SUM(K58,K62)</f>
        <v>0</v>
      </c>
      <c r="L63" s="88">
        <f t="shared" si="24"/>
        <v>0</v>
      </c>
      <c r="M63" s="47"/>
      <c r="N63" s="65"/>
    </row>
    <row r="64" spans="1:14" ht="15" customHeight="1" x14ac:dyDescent="0.2">
      <c r="A64" s="89" t="s">
        <v>81</v>
      </c>
      <c r="B64" s="90"/>
      <c r="C64" s="91"/>
      <c r="D64" s="92"/>
      <c r="E64" s="93"/>
      <c r="F64" s="92"/>
      <c r="G64" s="92"/>
      <c r="H64" s="92"/>
      <c r="I64" s="94"/>
      <c r="J64" s="95"/>
      <c r="K64" s="95"/>
      <c r="L64" s="95"/>
      <c r="M64" s="47"/>
      <c r="N64" s="65"/>
    </row>
    <row r="65" spans="1:13" ht="15.75" customHeight="1" x14ac:dyDescent="0.2">
      <c r="A65" s="96" t="s">
        <v>41</v>
      </c>
      <c r="B65" s="50"/>
      <c r="C65" s="50"/>
      <c r="D65" s="62"/>
      <c r="E65" s="62"/>
      <c r="F65" s="62"/>
      <c r="G65" s="62"/>
      <c r="H65" s="62"/>
      <c r="I65" s="97"/>
      <c r="J65" s="98"/>
      <c r="K65" s="98"/>
      <c r="L65" s="98"/>
      <c r="M65" s="47"/>
    </row>
    <row r="66" spans="1:13" ht="15.75" customHeight="1" x14ac:dyDescent="0.2">
      <c r="A66" s="99" t="s">
        <v>45</v>
      </c>
      <c r="B66" s="100"/>
      <c r="C66" s="100"/>
      <c r="D66" s="100"/>
      <c r="E66" s="100"/>
      <c r="F66" s="100"/>
      <c r="G66" s="100"/>
      <c r="H66" s="100"/>
      <c r="I66" s="100"/>
      <c r="J66" s="101"/>
      <c r="K66" s="101"/>
      <c r="L66" s="101"/>
      <c r="M66" s="47"/>
    </row>
    <row r="67" spans="1:13" ht="15.75" customHeight="1" x14ac:dyDescent="0.2">
      <c r="A67" s="102" t="s">
        <v>31</v>
      </c>
      <c r="B67" s="100" t="s">
        <v>44</v>
      </c>
      <c r="C67" s="100"/>
      <c r="D67" s="100"/>
      <c r="E67" s="100"/>
      <c r="F67" s="100"/>
      <c r="G67" s="100"/>
      <c r="H67" s="100"/>
      <c r="I67" s="100"/>
      <c r="J67" s="101"/>
      <c r="K67" s="101"/>
      <c r="L67" s="101"/>
      <c r="M67" s="47"/>
    </row>
    <row r="68" spans="1:13" ht="19.5" x14ac:dyDescent="0.2">
      <c r="A68" s="53"/>
      <c r="B68" s="103" t="s">
        <v>16</v>
      </c>
      <c r="C68" s="103" t="s">
        <v>14</v>
      </c>
      <c r="D68" s="104" t="s">
        <v>34</v>
      </c>
      <c r="E68" s="105" t="s">
        <v>97</v>
      </c>
      <c r="F68" s="103"/>
      <c r="G68" s="103"/>
      <c r="H68" s="103"/>
      <c r="I68" s="103"/>
      <c r="J68" s="106"/>
      <c r="K68" s="106"/>
      <c r="L68" s="107"/>
      <c r="M68" s="47"/>
    </row>
    <row r="69" spans="1:13" x14ac:dyDescent="0.2">
      <c r="A69" s="59"/>
      <c r="B69" s="141"/>
      <c r="C69" s="54">
        <v>1</v>
      </c>
      <c r="D69" s="108" t="s">
        <v>36</v>
      </c>
      <c r="E69" s="47"/>
      <c r="F69" s="54"/>
      <c r="G69" s="54"/>
      <c r="H69" s="54"/>
      <c r="I69" s="54" t="s">
        <v>30</v>
      </c>
      <c r="J69" s="56">
        <f t="shared" ref="J69:J72" si="25">F69*G69*H69</f>
        <v>0</v>
      </c>
      <c r="K69" s="57">
        <f>J69</f>
        <v>0</v>
      </c>
      <c r="L69" s="58"/>
      <c r="M69" s="47"/>
    </row>
    <row r="70" spans="1:13" x14ac:dyDescent="0.2">
      <c r="A70" s="59"/>
      <c r="B70" s="142"/>
      <c r="C70" s="54">
        <v>2</v>
      </c>
      <c r="D70" s="108" t="s">
        <v>37</v>
      </c>
      <c r="E70" s="47"/>
      <c r="F70" s="54"/>
      <c r="G70" s="54"/>
      <c r="H70" s="54"/>
      <c r="I70" s="54" t="s">
        <v>30</v>
      </c>
      <c r="J70" s="56">
        <f t="shared" si="25"/>
        <v>0</v>
      </c>
      <c r="K70" s="57">
        <f t="shared" ref="K70:K72" si="26">J70</f>
        <v>0</v>
      </c>
      <c r="L70" s="58"/>
      <c r="M70" s="47"/>
    </row>
    <row r="71" spans="1:13" x14ac:dyDescent="0.2">
      <c r="A71" s="59"/>
      <c r="B71" s="142"/>
      <c r="C71" s="54">
        <v>3</v>
      </c>
      <c r="D71" s="108" t="s">
        <v>38</v>
      </c>
      <c r="E71" s="47"/>
      <c r="F71" s="54"/>
      <c r="G71" s="54"/>
      <c r="H71" s="54"/>
      <c r="I71" s="54" t="s">
        <v>30</v>
      </c>
      <c r="J71" s="56">
        <f t="shared" si="25"/>
        <v>0</v>
      </c>
      <c r="K71" s="57">
        <f t="shared" si="26"/>
        <v>0</v>
      </c>
      <c r="L71" s="58"/>
      <c r="M71" s="47"/>
    </row>
    <row r="72" spans="1:13" x14ac:dyDescent="0.2">
      <c r="A72" s="59"/>
      <c r="B72" s="142"/>
      <c r="C72" s="109">
        <v>4</v>
      </c>
      <c r="D72" s="110" t="s">
        <v>39</v>
      </c>
      <c r="E72" s="111"/>
      <c r="F72" s="109"/>
      <c r="G72" s="109"/>
      <c r="H72" s="109"/>
      <c r="I72" s="109" t="s">
        <v>30</v>
      </c>
      <c r="J72" s="56">
        <f t="shared" si="25"/>
        <v>0</v>
      </c>
      <c r="K72" s="57">
        <f t="shared" si="26"/>
        <v>0</v>
      </c>
      <c r="L72" s="58"/>
      <c r="M72" s="47"/>
    </row>
    <row r="73" spans="1:13" x14ac:dyDescent="0.2">
      <c r="A73" s="59"/>
      <c r="B73" s="143"/>
      <c r="C73" s="77" t="s">
        <v>32</v>
      </c>
      <c r="D73" s="78"/>
      <c r="E73" s="79"/>
      <c r="F73" s="78"/>
      <c r="G73" s="78"/>
      <c r="H73" s="78"/>
      <c r="I73" s="80"/>
      <c r="J73" s="81">
        <f>SUM(J69:J72)</f>
        <v>0</v>
      </c>
      <c r="K73" s="82">
        <f>SUM(K69:K72)</f>
        <v>0</v>
      </c>
      <c r="L73" s="83">
        <f>SUM(L69:L72)</f>
        <v>0</v>
      </c>
      <c r="M73" s="47"/>
    </row>
    <row r="74" spans="1:13" ht="19.5" x14ac:dyDescent="0.2">
      <c r="A74" s="59"/>
      <c r="B74" s="103" t="s">
        <v>17</v>
      </c>
      <c r="C74" s="112" t="s">
        <v>9</v>
      </c>
      <c r="D74" s="113" t="s">
        <v>35</v>
      </c>
      <c r="E74" s="105" t="s">
        <v>97</v>
      </c>
      <c r="F74" s="114"/>
      <c r="G74" s="114"/>
      <c r="H74" s="114"/>
      <c r="I74" s="115"/>
      <c r="J74" s="116"/>
      <c r="K74" s="116"/>
      <c r="L74" s="116"/>
      <c r="M74" s="47"/>
    </row>
    <row r="75" spans="1:13" x14ac:dyDescent="0.2">
      <c r="A75" s="59"/>
      <c r="B75" s="141"/>
      <c r="C75" s="54">
        <v>1</v>
      </c>
      <c r="D75" s="117"/>
      <c r="E75" s="117"/>
      <c r="F75" s="118"/>
      <c r="G75" s="118"/>
      <c r="H75" s="118"/>
      <c r="I75" s="54" t="s">
        <v>1</v>
      </c>
      <c r="J75" s="56">
        <f t="shared" ref="J75:J78" si="27">F75*G75*H75</f>
        <v>0</v>
      </c>
      <c r="K75" s="57">
        <f>J75</f>
        <v>0</v>
      </c>
      <c r="L75" s="58">
        <v>0</v>
      </c>
      <c r="M75" s="47"/>
    </row>
    <row r="76" spans="1:13" x14ac:dyDescent="0.2">
      <c r="A76" s="59"/>
      <c r="B76" s="142"/>
      <c r="C76" s="54">
        <v>2</v>
      </c>
      <c r="D76" s="117"/>
      <c r="E76" s="117"/>
      <c r="F76" s="54"/>
      <c r="G76" s="118"/>
      <c r="H76" s="118"/>
      <c r="I76" s="54" t="s">
        <v>1</v>
      </c>
      <c r="J76" s="56">
        <f t="shared" si="27"/>
        <v>0</v>
      </c>
      <c r="K76" s="57">
        <f t="shared" ref="K76:K78" si="28">J76</f>
        <v>0</v>
      </c>
      <c r="L76" s="58">
        <v>0</v>
      </c>
      <c r="M76" s="47"/>
    </row>
    <row r="77" spans="1:13" x14ac:dyDescent="0.2">
      <c r="A77" s="59"/>
      <c r="B77" s="142"/>
      <c r="C77" s="54">
        <v>3</v>
      </c>
      <c r="D77" s="117"/>
      <c r="E77" s="117"/>
      <c r="F77" s="54"/>
      <c r="G77" s="118"/>
      <c r="H77" s="118"/>
      <c r="I77" s="54" t="s">
        <v>1</v>
      </c>
      <c r="J77" s="56">
        <f t="shared" si="27"/>
        <v>0</v>
      </c>
      <c r="K77" s="57">
        <f t="shared" si="28"/>
        <v>0</v>
      </c>
      <c r="L77" s="58">
        <v>0</v>
      </c>
      <c r="M77" s="47"/>
    </row>
    <row r="78" spans="1:13" x14ac:dyDescent="0.2">
      <c r="A78" s="59"/>
      <c r="B78" s="142"/>
      <c r="C78" s="109">
        <v>4</v>
      </c>
      <c r="D78" s="119"/>
      <c r="E78" s="119"/>
      <c r="F78" s="109"/>
      <c r="G78" s="109"/>
      <c r="H78" s="109"/>
      <c r="I78" s="54" t="s">
        <v>1</v>
      </c>
      <c r="J78" s="56">
        <f t="shared" si="27"/>
        <v>0</v>
      </c>
      <c r="K78" s="57">
        <f t="shared" si="28"/>
        <v>0</v>
      </c>
      <c r="L78" s="58">
        <v>0</v>
      </c>
      <c r="M78" s="47"/>
    </row>
    <row r="79" spans="1:13" x14ac:dyDescent="0.2">
      <c r="A79" s="59"/>
      <c r="B79" s="143"/>
      <c r="C79" s="77" t="s">
        <v>33</v>
      </c>
      <c r="D79" s="78"/>
      <c r="E79" s="79"/>
      <c r="F79" s="78"/>
      <c r="G79" s="78"/>
      <c r="H79" s="120"/>
      <c r="I79" s="80"/>
      <c r="J79" s="82">
        <f>SUM(J75:J78)</f>
        <v>0</v>
      </c>
      <c r="K79" s="82">
        <f>SUM(K75:K78)</f>
        <v>0</v>
      </c>
      <c r="L79" s="83">
        <f>SUM(L75:L78)</f>
        <v>0</v>
      </c>
      <c r="M79" s="47"/>
    </row>
    <row r="80" spans="1:13" x14ac:dyDescent="0.2">
      <c r="A80" s="96" t="s">
        <v>42</v>
      </c>
      <c r="B80" s="50"/>
      <c r="C80" s="50"/>
      <c r="D80" s="62"/>
      <c r="E80" s="62"/>
      <c r="F80" s="62"/>
      <c r="G80" s="62"/>
      <c r="H80" s="62"/>
      <c r="I80" s="97"/>
      <c r="J80" s="63">
        <f>J79+J73</f>
        <v>0</v>
      </c>
      <c r="K80" s="63">
        <f t="shared" ref="K80:L80" si="29">K79+K73</f>
        <v>0</v>
      </c>
      <c r="L80" s="63">
        <f t="shared" si="29"/>
        <v>0</v>
      </c>
      <c r="M80" s="47"/>
    </row>
    <row r="81" spans="1:13" ht="20.25" customHeight="1" x14ac:dyDescent="0.2">
      <c r="A81" s="121" t="s">
        <v>40</v>
      </c>
      <c r="B81" s="122"/>
      <c r="C81" s="122"/>
      <c r="D81" s="46"/>
      <c r="E81" s="46"/>
      <c r="F81" s="46"/>
      <c r="G81" s="46"/>
      <c r="H81" s="46"/>
      <c r="I81" s="123"/>
      <c r="J81" s="124">
        <f>J80+J65</f>
        <v>0</v>
      </c>
      <c r="K81" s="124">
        <f>K80+K65</f>
        <v>0</v>
      </c>
      <c r="L81" s="125">
        <f>L80+L65</f>
        <v>0</v>
      </c>
      <c r="M81" s="47"/>
    </row>
    <row r="84" spans="1:13" ht="15.5" x14ac:dyDescent="0.35">
      <c r="D84" s="130" t="s">
        <v>82</v>
      </c>
    </row>
    <row r="85" spans="1:13" ht="137.5" x14ac:dyDescent="0.25">
      <c r="D85" s="131" t="s">
        <v>96</v>
      </c>
    </row>
    <row r="86" spans="1:13" ht="15.5" x14ac:dyDescent="0.35">
      <c r="D86" s="128"/>
    </row>
    <row r="87" spans="1:13" ht="15.5" x14ac:dyDescent="0.35">
      <c r="D87" s="129"/>
    </row>
    <row r="88" spans="1:13" ht="15.5" x14ac:dyDescent="0.35">
      <c r="D88" s="129"/>
    </row>
    <row r="89" spans="1:13" ht="15.5" x14ac:dyDescent="0.35">
      <c r="D89" s="129"/>
    </row>
    <row r="90" spans="1:13" ht="15.5" x14ac:dyDescent="0.35">
      <c r="D90" s="129"/>
    </row>
    <row r="91" spans="1:13" ht="15.5" x14ac:dyDescent="0.35">
      <c r="D91" s="129"/>
    </row>
    <row r="92" spans="1:13" ht="15.5" x14ac:dyDescent="0.35">
      <c r="D92" s="129"/>
    </row>
    <row r="93" spans="1:13" ht="15.5" x14ac:dyDescent="0.35">
      <c r="D93" s="129"/>
    </row>
  </sheetData>
  <mergeCells count="34">
    <mergeCell ref="B60:B62"/>
    <mergeCell ref="B35:C35"/>
    <mergeCell ref="B63:C63"/>
    <mergeCell ref="B69:B73"/>
    <mergeCell ref="B75:B79"/>
    <mergeCell ref="B38:B40"/>
    <mergeCell ref="B42:B44"/>
    <mergeCell ref="B46:B48"/>
    <mergeCell ref="B50:B52"/>
    <mergeCell ref="B53:C53"/>
    <mergeCell ref="B56:B58"/>
    <mergeCell ref="B16:B19"/>
    <mergeCell ref="M16:M19"/>
    <mergeCell ref="B24:B26"/>
    <mergeCell ref="B28:B30"/>
    <mergeCell ref="B32:B34"/>
    <mergeCell ref="M10:M12"/>
    <mergeCell ref="B13:L13"/>
    <mergeCell ref="A7:C7"/>
    <mergeCell ref="A10:C12"/>
    <mergeCell ref="D10:D12"/>
    <mergeCell ref="E10:E12"/>
    <mergeCell ref="F10:F12"/>
    <mergeCell ref="G10:G12"/>
    <mergeCell ref="H10:H12"/>
    <mergeCell ref="I10:I12"/>
    <mergeCell ref="J10:J12"/>
    <mergeCell ref="K10:L10"/>
    <mergeCell ref="A6:C6"/>
    <mergeCell ref="A1:J1"/>
    <mergeCell ref="K1:L1"/>
    <mergeCell ref="A3:C3"/>
    <mergeCell ref="A4:C4"/>
    <mergeCell ref="A5:C5"/>
  </mergeCells>
  <printOptions horizontalCentered="1"/>
  <pageMargins left="0.47244094488188981" right="0.70866141732283472" top="0.35433070866141736" bottom="0.51181102362204722" header="0.23622047244094491" footer="0.31496062992125984"/>
  <pageSetup scale="70" orientation="landscape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A817-FE0D-40BD-84E7-4FC02D624B88}">
  <dimension ref="A1:N93"/>
  <sheetViews>
    <sheetView tabSelected="1" zoomScale="85" zoomScaleNormal="85" workbookViewId="0">
      <selection activeCell="C14" sqref="C14"/>
    </sheetView>
  </sheetViews>
  <sheetFormatPr defaultColWidth="9.1796875" defaultRowHeight="10.5" x14ac:dyDescent="0.25"/>
  <cols>
    <col min="1" max="1" width="3.453125" style="34" customWidth="1"/>
    <col min="2" max="2" width="5.453125" style="126" customWidth="1"/>
    <col min="3" max="3" width="11" style="34" customWidth="1"/>
    <col min="4" max="4" width="38.6328125" style="34" customWidth="1"/>
    <col min="5" max="5" width="16.453125" style="34" customWidth="1"/>
    <col min="6" max="6" width="7" style="127" bestFit="1" customWidth="1"/>
    <col min="7" max="7" width="8.81640625" style="127" bestFit="1" customWidth="1"/>
    <col min="8" max="8" width="15.453125" style="34" customWidth="1"/>
    <col min="9" max="9" width="6.6328125" style="34" bestFit="1" customWidth="1"/>
    <col min="10" max="10" width="13.36328125" style="37" customWidth="1"/>
    <col min="11" max="11" width="20" style="38" customWidth="1"/>
    <col min="12" max="12" width="20" style="39" customWidth="1"/>
    <col min="13" max="13" width="18.6328125" style="34" customWidth="1"/>
    <col min="14" max="14" width="9.453125" style="34" bestFit="1" customWidth="1"/>
    <col min="15" max="16384" width="9.1796875" style="34"/>
  </cols>
  <sheetData>
    <row r="1" spans="1:13" ht="23" x14ac:dyDescent="0.5">
      <c r="A1" s="175" t="s">
        <v>58</v>
      </c>
      <c r="B1" s="176"/>
      <c r="C1" s="176"/>
      <c r="D1" s="176"/>
      <c r="E1" s="176"/>
      <c r="F1" s="176"/>
      <c r="G1" s="176"/>
      <c r="H1" s="176"/>
      <c r="I1" s="176"/>
      <c r="J1" s="177"/>
      <c r="K1" s="178" t="s">
        <v>107</v>
      </c>
      <c r="L1" s="179"/>
    </row>
    <row r="2" spans="1:13" ht="7.5" customHeight="1" x14ac:dyDescent="0.2">
      <c r="A2" s="35"/>
      <c r="B2" s="35"/>
      <c r="C2" s="35"/>
      <c r="D2" s="36"/>
      <c r="E2" s="36"/>
      <c r="F2" s="36"/>
      <c r="G2" s="36"/>
    </row>
    <row r="3" spans="1:13" ht="15.5" x14ac:dyDescent="0.2">
      <c r="A3" s="163" t="s">
        <v>46</v>
      </c>
      <c r="B3" s="163"/>
      <c r="C3" s="163"/>
      <c r="D3" s="40" t="s">
        <v>47</v>
      </c>
      <c r="E3" s="36"/>
      <c r="F3" s="36"/>
      <c r="G3" s="36"/>
    </row>
    <row r="4" spans="1:13" ht="15.5" x14ac:dyDescent="0.2">
      <c r="A4" s="163" t="s">
        <v>62</v>
      </c>
      <c r="B4" s="163"/>
      <c r="C4" s="163"/>
      <c r="D4" s="40" t="s">
        <v>61</v>
      </c>
      <c r="E4" s="36"/>
      <c r="F4" s="36"/>
      <c r="G4" s="36"/>
    </row>
    <row r="5" spans="1:13" ht="15.5" x14ac:dyDescent="0.2">
      <c r="A5" s="163" t="s">
        <v>51</v>
      </c>
      <c r="B5" s="163"/>
      <c r="C5" s="163"/>
      <c r="D5" s="40" t="s">
        <v>47</v>
      </c>
      <c r="E5" s="36"/>
      <c r="F5" s="36"/>
      <c r="G5" s="36"/>
    </row>
    <row r="6" spans="1:13" ht="15.5" x14ac:dyDescent="0.2">
      <c r="A6" s="163" t="s">
        <v>52</v>
      </c>
      <c r="B6" s="163"/>
      <c r="C6" s="163"/>
      <c r="D6" s="40" t="s">
        <v>47</v>
      </c>
      <c r="E6" s="36"/>
      <c r="F6" s="36"/>
      <c r="G6" s="36"/>
    </row>
    <row r="7" spans="1:13" ht="15.5" x14ac:dyDescent="0.2">
      <c r="A7" s="163" t="s">
        <v>60</v>
      </c>
      <c r="B7" s="163"/>
      <c r="C7" s="163"/>
      <c r="D7" s="40" t="s">
        <v>47</v>
      </c>
      <c r="E7" s="36"/>
      <c r="F7" s="36"/>
      <c r="G7" s="36"/>
    </row>
    <row r="8" spans="1:13" ht="15.5" x14ac:dyDescent="0.2">
      <c r="A8" s="40" t="s">
        <v>48</v>
      </c>
      <c r="B8" s="40"/>
      <c r="C8" s="40"/>
      <c r="D8" s="40" t="s">
        <v>49</v>
      </c>
      <c r="E8" s="36"/>
      <c r="F8" s="36"/>
      <c r="G8" s="36"/>
    </row>
    <row r="9" spans="1:13" ht="15.5" x14ac:dyDescent="0.2">
      <c r="B9" s="41"/>
      <c r="C9" s="42"/>
      <c r="D9" s="40"/>
      <c r="E9" s="36"/>
      <c r="F9" s="36"/>
      <c r="G9" s="36"/>
    </row>
    <row r="10" spans="1:13" ht="12" customHeight="1" x14ac:dyDescent="0.2">
      <c r="A10" s="164" t="s">
        <v>0</v>
      </c>
      <c r="B10" s="165"/>
      <c r="C10" s="166"/>
      <c r="D10" s="173" t="s">
        <v>55</v>
      </c>
      <c r="E10" s="173" t="s">
        <v>85</v>
      </c>
      <c r="F10" s="152" t="s">
        <v>26</v>
      </c>
      <c r="G10" s="152" t="s">
        <v>29</v>
      </c>
      <c r="H10" s="149" t="s">
        <v>25</v>
      </c>
      <c r="I10" s="152" t="s">
        <v>27</v>
      </c>
      <c r="J10" s="155" t="s">
        <v>95</v>
      </c>
      <c r="K10" s="158" t="s">
        <v>2</v>
      </c>
      <c r="L10" s="159"/>
      <c r="M10" s="155" t="s">
        <v>78</v>
      </c>
    </row>
    <row r="11" spans="1:13" ht="12" customHeight="1" x14ac:dyDescent="0.2">
      <c r="A11" s="167"/>
      <c r="B11" s="168"/>
      <c r="C11" s="169"/>
      <c r="D11" s="174"/>
      <c r="E11" s="174"/>
      <c r="F11" s="153"/>
      <c r="G11" s="153"/>
      <c r="H11" s="150"/>
      <c r="I11" s="153"/>
      <c r="J11" s="156"/>
      <c r="K11" s="43" t="s">
        <v>3</v>
      </c>
      <c r="L11" s="44" t="s">
        <v>4</v>
      </c>
      <c r="M11" s="156"/>
    </row>
    <row r="12" spans="1:13" ht="12" customHeight="1" x14ac:dyDescent="0.2">
      <c r="A12" s="170"/>
      <c r="B12" s="171"/>
      <c r="C12" s="172"/>
      <c r="D12" s="174"/>
      <c r="E12" s="174"/>
      <c r="F12" s="154"/>
      <c r="G12" s="154"/>
      <c r="H12" s="151"/>
      <c r="I12" s="154"/>
      <c r="J12" s="157"/>
      <c r="K12" s="44" t="s">
        <v>5</v>
      </c>
      <c r="L12" s="44" t="s">
        <v>5</v>
      </c>
      <c r="M12" s="157"/>
    </row>
    <row r="13" spans="1:13" ht="15.75" customHeight="1" x14ac:dyDescent="0.2">
      <c r="A13" s="45" t="s">
        <v>15</v>
      </c>
      <c r="B13" s="162" t="s">
        <v>43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47"/>
    </row>
    <row r="14" spans="1:13" ht="15.75" customHeight="1" x14ac:dyDescent="0.2">
      <c r="A14" s="48"/>
      <c r="B14" s="49" t="s">
        <v>16</v>
      </c>
      <c r="C14" s="50" t="s">
        <v>115</v>
      </c>
      <c r="D14" s="50"/>
      <c r="E14" s="50"/>
      <c r="F14" s="50"/>
      <c r="G14" s="50"/>
      <c r="H14" s="50"/>
      <c r="I14" s="50"/>
      <c r="J14" s="50"/>
      <c r="K14" s="50"/>
      <c r="L14" s="50"/>
      <c r="M14" s="47"/>
    </row>
    <row r="15" spans="1:13" x14ac:dyDescent="0.2">
      <c r="A15" s="48"/>
      <c r="B15" s="51" t="s">
        <v>11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47"/>
    </row>
    <row r="16" spans="1:13" x14ac:dyDescent="0.2">
      <c r="A16" s="53"/>
      <c r="B16" s="160"/>
      <c r="C16" s="54">
        <v>1</v>
      </c>
      <c r="D16" s="55" t="s">
        <v>90</v>
      </c>
      <c r="E16" s="47" t="s">
        <v>86</v>
      </c>
      <c r="F16" s="54"/>
      <c r="G16" s="54"/>
      <c r="H16" s="54"/>
      <c r="I16" s="54" t="s">
        <v>28</v>
      </c>
      <c r="J16" s="56">
        <f>F16*G16*H16</f>
        <v>0</v>
      </c>
      <c r="K16" s="57">
        <f>J16</f>
        <v>0</v>
      </c>
      <c r="L16" s="58"/>
      <c r="M16" s="146" t="s">
        <v>77</v>
      </c>
    </row>
    <row r="17" spans="1:14" x14ac:dyDescent="0.2">
      <c r="A17" s="59"/>
      <c r="B17" s="161"/>
      <c r="C17" s="54">
        <v>2</v>
      </c>
      <c r="D17" s="55" t="s">
        <v>90</v>
      </c>
      <c r="E17" s="47" t="s">
        <v>87</v>
      </c>
      <c r="F17" s="54"/>
      <c r="G17" s="54"/>
      <c r="H17" s="54"/>
      <c r="I17" s="54" t="s">
        <v>28</v>
      </c>
      <c r="J17" s="56">
        <f t="shared" ref="J17:J19" si="0">F17*G17*H17</f>
        <v>0</v>
      </c>
      <c r="K17" s="57">
        <f t="shared" ref="K17:K19" si="1">J17</f>
        <v>0</v>
      </c>
      <c r="L17" s="58"/>
      <c r="M17" s="147"/>
    </row>
    <row r="18" spans="1:14" x14ac:dyDescent="0.2">
      <c r="A18" s="59"/>
      <c r="B18" s="161"/>
      <c r="C18" s="54">
        <v>3</v>
      </c>
      <c r="D18" s="55" t="s">
        <v>90</v>
      </c>
      <c r="E18" s="47" t="s">
        <v>88</v>
      </c>
      <c r="F18" s="54"/>
      <c r="G18" s="54"/>
      <c r="H18" s="54"/>
      <c r="I18" s="54" t="s">
        <v>28</v>
      </c>
      <c r="J18" s="56">
        <f t="shared" si="0"/>
        <v>0</v>
      </c>
      <c r="K18" s="57">
        <f t="shared" si="1"/>
        <v>0</v>
      </c>
      <c r="L18" s="58"/>
      <c r="M18" s="147"/>
    </row>
    <row r="19" spans="1:14" x14ac:dyDescent="0.2">
      <c r="A19" s="59"/>
      <c r="B19" s="161"/>
      <c r="C19" s="54">
        <v>4</v>
      </c>
      <c r="D19" s="55" t="s">
        <v>90</v>
      </c>
      <c r="E19" s="47" t="s">
        <v>89</v>
      </c>
      <c r="F19" s="54"/>
      <c r="G19" s="54"/>
      <c r="H19" s="54"/>
      <c r="I19" s="54" t="s">
        <v>28</v>
      </c>
      <c r="J19" s="56">
        <f t="shared" si="0"/>
        <v>0</v>
      </c>
      <c r="K19" s="57">
        <f t="shared" si="1"/>
        <v>0</v>
      </c>
      <c r="L19" s="58"/>
      <c r="M19" s="147"/>
    </row>
    <row r="20" spans="1:14" x14ac:dyDescent="0.2">
      <c r="A20" s="60"/>
      <c r="B20" s="61" t="s">
        <v>91</v>
      </c>
      <c r="C20" s="62"/>
      <c r="D20" s="62"/>
      <c r="E20" s="62"/>
      <c r="F20" s="62"/>
      <c r="G20" s="62"/>
      <c r="H20" s="62"/>
      <c r="I20" s="62"/>
      <c r="J20" s="63">
        <f>SUM(J16:J19)</f>
        <v>0</v>
      </c>
      <c r="K20" s="63">
        <f>SUM(K16:K19)</f>
        <v>0</v>
      </c>
      <c r="L20" s="64">
        <f>SUM(L16:L19)</f>
        <v>0</v>
      </c>
      <c r="M20" s="47"/>
      <c r="N20" s="65"/>
    </row>
    <row r="21" spans="1:14" ht="15.75" customHeight="1" x14ac:dyDescent="0.2">
      <c r="A21" s="48"/>
      <c r="B21" s="49" t="s">
        <v>17</v>
      </c>
      <c r="C21" s="50" t="s">
        <v>10</v>
      </c>
      <c r="D21" s="50"/>
      <c r="E21" s="50"/>
      <c r="F21" s="50"/>
      <c r="G21" s="50"/>
      <c r="H21" s="50"/>
      <c r="I21" s="50"/>
      <c r="J21" s="66"/>
      <c r="K21" s="66"/>
      <c r="L21" s="66"/>
      <c r="M21" s="47"/>
    </row>
    <row r="22" spans="1:14" ht="14" x14ac:dyDescent="0.3">
      <c r="A22" s="48"/>
      <c r="B22" s="67" t="s">
        <v>12</v>
      </c>
      <c r="C22" s="68" t="s">
        <v>63</v>
      </c>
      <c r="D22" s="132" t="s">
        <v>92</v>
      </c>
      <c r="E22" s="52"/>
      <c r="F22" s="52"/>
      <c r="G22" s="52"/>
      <c r="H22" s="52"/>
      <c r="I22" s="52"/>
      <c r="J22" s="69"/>
      <c r="K22" s="69"/>
      <c r="L22" s="69"/>
      <c r="M22" s="70"/>
    </row>
    <row r="23" spans="1:14" ht="14" x14ac:dyDescent="0.3">
      <c r="A23" s="48"/>
      <c r="B23" s="71" t="s">
        <v>18</v>
      </c>
      <c r="C23" s="72" t="s">
        <v>64</v>
      </c>
      <c r="D23" s="73"/>
      <c r="E23" s="73"/>
      <c r="F23" s="73"/>
      <c r="G23" s="73"/>
      <c r="H23" s="73"/>
      <c r="I23" s="73"/>
      <c r="J23" s="74"/>
      <c r="K23" s="74"/>
      <c r="L23" s="74"/>
      <c r="M23" s="70"/>
    </row>
    <row r="24" spans="1:14" ht="12.5" x14ac:dyDescent="0.2">
      <c r="A24" s="59"/>
      <c r="B24" s="141"/>
      <c r="C24" s="54">
        <v>1</v>
      </c>
      <c r="D24" s="75"/>
      <c r="E24" s="47"/>
      <c r="F24" s="54"/>
      <c r="G24" s="54"/>
      <c r="H24" s="54"/>
      <c r="I24" s="54"/>
      <c r="J24" s="56">
        <f t="shared" ref="J24:J25" si="2">F24*G24*H24</f>
        <v>0</v>
      </c>
      <c r="K24" s="57">
        <f>J24</f>
        <v>0</v>
      </c>
      <c r="L24" s="58"/>
      <c r="M24" s="76" t="s">
        <v>79</v>
      </c>
    </row>
    <row r="25" spans="1:14" ht="12.5" x14ac:dyDescent="0.2">
      <c r="A25" s="59"/>
      <c r="B25" s="142"/>
      <c r="C25" s="54">
        <v>2</v>
      </c>
      <c r="D25" s="75"/>
      <c r="E25" s="47"/>
      <c r="F25" s="54"/>
      <c r="G25" s="54"/>
      <c r="H25" s="54"/>
      <c r="I25" s="54"/>
      <c r="J25" s="56">
        <f t="shared" si="2"/>
        <v>0</v>
      </c>
      <c r="K25" s="57">
        <f t="shared" ref="K25" si="3">J25</f>
        <v>0</v>
      </c>
      <c r="L25" s="58"/>
      <c r="M25" s="76" t="s">
        <v>79</v>
      </c>
    </row>
    <row r="26" spans="1:14" ht="12.5" x14ac:dyDescent="0.2">
      <c r="A26" s="59"/>
      <c r="B26" s="143"/>
      <c r="C26" s="77" t="s">
        <v>66</v>
      </c>
      <c r="D26" s="78"/>
      <c r="E26" s="79"/>
      <c r="F26" s="78"/>
      <c r="G26" s="78"/>
      <c r="H26" s="78"/>
      <c r="I26" s="80"/>
      <c r="J26" s="81">
        <f>SUM(J24:J25)</f>
        <v>0</v>
      </c>
      <c r="K26" s="82">
        <f>SUM(K24:K25)</f>
        <v>0</v>
      </c>
      <c r="L26" s="83">
        <f>SUM(L24:L25)</f>
        <v>0</v>
      </c>
      <c r="M26" s="76" t="s">
        <v>80</v>
      </c>
      <c r="N26" s="65"/>
    </row>
    <row r="27" spans="1:14" ht="14" x14ac:dyDescent="0.3">
      <c r="A27" s="48"/>
      <c r="B27" s="71" t="s">
        <v>19</v>
      </c>
      <c r="C27" s="72" t="s">
        <v>65</v>
      </c>
      <c r="D27" s="73"/>
      <c r="E27" s="73"/>
      <c r="F27" s="73"/>
      <c r="G27" s="73"/>
      <c r="H27" s="73"/>
      <c r="I27" s="73"/>
      <c r="J27" s="74"/>
      <c r="K27" s="74"/>
      <c r="L27" s="74"/>
      <c r="M27" s="70"/>
    </row>
    <row r="28" spans="1:14" x14ac:dyDescent="0.2">
      <c r="A28" s="59"/>
      <c r="B28" s="141"/>
      <c r="C28" s="54">
        <v>1</v>
      </c>
      <c r="D28" s="75"/>
      <c r="E28" s="47"/>
      <c r="F28" s="54"/>
      <c r="G28" s="54"/>
      <c r="H28" s="54"/>
      <c r="I28" s="54"/>
      <c r="J28" s="56">
        <f t="shared" ref="J28:J29" si="4">F28*G28*H28</f>
        <v>0</v>
      </c>
      <c r="K28" s="57">
        <f>J28</f>
        <v>0</v>
      </c>
      <c r="L28" s="58"/>
      <c r="M28" s="47"/>
    </row>
    <row r="29" spans="1:14" x14ac:dyDescent="0.2">
      <c r="A29" s="59"/>
      <c r="B29" s="142"/>
      <c r="C29" s="54">
        <v>2</v>
      </c>
      <c r="D29" s="75"/>
      <c r="E29" s="47"/>
      <c r="F29" s="54"/>
      <c r="G29" s="54"/>
      <c r="H29" s="54"/>
      <c r="I29" s="54"/>
      <c r="J29" s="56">
        <f t="shared" si="4"/>
        <v>0</v>
      </c>
      <c r="K29" s="57">
        <f t="shared" ref="K29" si="5">J29</f>
        <v>0</v>
      </c>
      <c r="L29" s="58"/>
      <c r="M29" s="47"/>
    </row>
    <row r="30" spans="1:14" x14ac:dyDescent="0.2">
      <c r="A30" s="59"/>
      <c r="B30" s="143"/>
      <c r="C30" s="77" t="s">
        <v>66</v>
      </c>
      <c r="D30" s="78"/>
      <c r="E30" s="79"/>
      <c r="F30" s="78"/>
      <c r="G30" s="78"/>
      <c r="H30" s="78"/>
      <c r="I30" s="80"/>
      <c r="J30" s="81">
        <f>SUM(J28:J29)</f>
        <v>0</v>
      </c>
      <c r="K30" s="82">
        <f>SUM(K28:K29)</f>
        <v>0</v>
      </c>
      <c r="L30" s="83">
        <f>SUM(L28:L29)</f>
        <v>0</v>
      </c>
      <c r="M30" s="47"/>
      <c r="N30" s="65"/>
    </row>
    <row r="31" spans="1:14" ht="14" x14ac:dyDescent="0.3">
      <c r="A31" s="48"/>
      <c r="B31" s="71" t="s">
        <v>20</v>
      </c>
      <c r="C31" s="72" t="s">
        <v>67</v>
      </c>
      <c r="D31" s="73"/>
      <c r="E31" s="73"/>
      <c r="F31" s="73"/>
      <c r="G31" s="73"/>
      <c r="H31" s="73"/>
      <c r="I31" s="73"/>
      <c r="J31" s="74"/>
      <c r="K31" s="74"/>
      <c r="L31" s="74"/>
      <c r="M31" s="70"/>
    </row>
    <row r="32" spans="1:14" x14ac:dyDescent="0.2">
      <c r="A32" s="59"/>
      <c r="B32" s="144"/>
      <c r="C32" s="54">
        <v>1</v>
      </c>
      <c r="D32" s="75"/>
      <c r="E32" s="47"/>
      <c r="F32" s="54"/>
      <c r="G32" s="54"/>
      <c r="H32" s="54"/>
      <c r="I32" s="54"/>
      <c r="J32" s="56">
        <f t="shared" ref="J32:J33" si="6">F32*G32*H32</f>
        <v>0</v>
      </c>
      <c r="K32" s="57">
        <f>J32</f>
        <v>0</v>
      </c>
      <c r="L32" s="58"/>
      <c r="M32" s="47"/>
    </row>
    <row r="33" spans="1:14" x14ac:dyDescent="0.2">
      <c r="A33" s="59"/>
      <c r="B33" s="145"/>
      <c r="C33" s="54">
        <v>2</v>
      </c>
      <c r="D33" s="75"/>
      <c r="E33" s="47"/>
      <c r="F33" s="54"/>
      <c r="G33" s="54"/>
      <c r="H33" s="54"/>
      <c r="I33" s="54"/>
      <c r="J33" s="56">
        <f t="shared" si="6"/>
        <v>0</v>
      </c>
      <c r="K33" s="57">
        <f t="shared" ref="K33" si="7">J33</f>
        <v>0</v>
      </c>
      <c r="L33" s="58"/>
      <c r="M33" s="47"/>
    </row>
    <row r="34" spans="1:14" x14ac:dyDescent="0.2">
      <c r="A34" s="59"/>
      <c r="B34" s="145"/>
      <c r="C34" s="84" t="s">
        <v>66</v>
      </c>
      <c r="D34" s="78"/>
      <c r="E34" s="79"/>
      <c r="F34" s="78"/>
      <c r="G34" s="78"/>
      <c r="H34" s="78"/>
      <c r="I34" s="80"/>
      <c r="J34" s="81">
        <f t="shared" ref="J34:L34" si="8">SUM(J32:J33)</f>
        <v>0</v>
      </c>
      <c r="K34" s="82">
        <f t="shared" si="8"/>
        <v>0</v>
      </c>
      <c r="L34" s="83">
        <f t="shared" si="8"/>
        <v>0</v>
      </c>
      <c r="M34" s="47"/>
      <c r="N34" s="65"/>
    </row>
    <row r="35" spans="1:14" ht="15" customHeight="1" x14ac:dyDescent="0.2">
      <c r="A35" s="59"/>
      <c r="B35" s="139" t="s">
        <v>68</v>
      </c>
      <c r="C35" s="140"/>
      <c r="D35" s="85"/>
      <c r="E35" s="86"/>
      <c r="F35" s="85"/>
      <c r="G35" s="85"/>
      <c r="H35" s="85"/>
      <c r="I35" s="87"/>
      <c r="J35" s="88">
        <f>SUM(J26,J30,J34)</f>
        <v>0</v>
      </c>
      <c r="K35" s="88">
        <f t="shared" ref="K35:L35" si="9">SUM(K26,K30,K34)</f>
        <v>0</v>
      </c>
      <c r="L35" s="88">
        <f t="shared" si="9"/>
        <v>0</v>
      </c>
      <c r="M35" s="47"/>
      <c r="N35" s="65"/>
    </row>
    <row r="36" spans="1:14" ht="14" x14ac:dyDescent="0.3">
      <c r="A36" s="48"/>
      <c r="B36" s="67" t="s">
        <v>13</v>
      </c>
      <c r="C36" s="68" t="s">
        <v>72</v>
      </c>
      <c r="D36" s="132" t="s">
        <v>93</v>
      </c>
      <c r="E36" s="52"/>
      <c r="F36" s="52"/>
      <c r="G36" s="52"/>
      <c r="H36" s="52"/>
      <c r="I36" s="52"/>
      <c r="J36" s="69"/>
      <c r="K36" s="69"/>
      <c r="L36" s="69"/>
      <c r="M36" s="70"/>
    </row>
    <row r="37" spans="1:14" ht="14" x14ac:dyDescent="0.3">
      <c r="A37" s="48"/>
      <c r="B37" s="71" t="s">
        <v>21</v>
      </c>
      <c r="C37" s="72" t="s">
        <v>69</v>
      </c>
      <c r="D37" s="73"/>
      <c r="E37" s="73"/>
      <c r="F37" s="73"/>
      <c r="G37" s="73"/>
      <c r="H37" s="73"/>
      <c r="I37" s="73"/>
      <c r="J37" s="74"/>
      <c r="K37" s="74"/>
      <c r="L37" s="74"/>
      <c r="M37" s="70"/>
    </row>
    <row r="38" spans="1:14" x14ac:dyDescent="0.2">
      <c r="A38" s="59"/>
      <c r="B38" s="141"/>
      <c r="C38" s="54">
        <v>1</v>
      </c>
      <c r="D38" s="75"/>
      <c r="E38" s="47"/>
      <c r="F38" s="54"/>
      <c r="G38" s="54"/>
      <c r="H38" s="54"/>
      <c r="I38" s="54"/>
      <c r="J38" s="56">
        <f t="shared" ref="J38:J39" si="10">F38*G38*H38</f>
        <v>0</v>
      </c>
      <c r="K38" s="57">
        <f>J38</f>
        <v>0</v>
      </c>
      <c r="L38" s="58"/>
      <c r="M38" s="47"/>
    </row>
    <row r="39" spans="1:14" x14ac:dyDescent="0.2">
      <c r="A39" s="59"/>
      <c r="B39" s="142"/>
      <c r="C39" s="54">
        <v>2</v>
      </c>
      <c r="D39" s="75"/>
      <c r="E39" s="47"/>
      <c r="F39" s="54"/>
      <c r="G39" s="54"/>
      <c r="H39" s="54"/>
      <c r="I39" s="54"/>
      <c r="J39" s="56">
        <f t="shared" si="10"/>
        <v>0</v>
      </c>
      <c r="K39" s="57">
        <f t="shared" ref="K39" si="11">J39</f>
        <v>0</v>
      </c>
      <c r="L39" s="58"/>
      <c r="M39" s="47"/>
    </row>
    <row r="40" spans="1:14" x14ac:dyDescent="0.2">
      <c r="A40" s="59"/>
      <c r="B40" s="143"/>
      <c r="C40" s="77" t="s">
        <v>66</v>
      </c>
      <c r="D40" s="78"/>
      <c r="E40" s="79"/>
      <c r="F40" s="78"/>
      <c r="G40" s="78"/>
      <c r="H40" s="78"/>
      <c r="I40" s="80"/>
      <c r="J40" s="81">
        <f>SUM(J38:J39)</f>
        <v>0</v>
      </c>
      <c r="K40" s="82">
        <f>SUM(K38:K39)</f>
        <v>0</v>
      </c>
      <c r="L40" s="83">
        <f>SUM(L38:L39)</f>
        <v>0</v>
      </c>
      <c r="M40" s="47"/>
      <c r="N40" s="65"/>
    </row>
    <row r="41" spans="1:14" ht="14" x14ac:dyDescent="0.3">
      <c r="A41" s="48"/>
      <c r="B41" s="71" t="s">
        <v>22</v>
      </c>
      <c r="C41" s="72" t="s">
        <v>71</v>
      </c>
      <c r="D41" s="73"/>
      <c r="E41" s="73"/>
      <c r="F41" s="73"/>
      <c r="G41" s="73"/>
      <c r="H41" s="73"/>
      <c r="I41" s="73"/>
      <c r="J41" s="74"/>
      <c r="K41" s="74"/>
      <c r="L41" s="74"/>
      <c r="M41" s="70"/>
    </row>
    <row r="42" spans="1:14" x14ac:dyDescent="0.2">
      <c r="A42" s="59"/>
      <c r="B42" s="141"/>
      <c r="C42" s="54">
        <v>1</v>
      </c>
      <c r="D42" s="75"/>
      <c r="E42" s="47"/>
      <c r="F42" s="54"/>
      <c r="G42" s="54"/>
      <c r="H42" s="54"/>
      <c r="I42" s="54"/>
      <c r="J42" s="56">
        <f t="shared" ref="J42:J43" si="12">F42*G42*H42</f>
        <v>0</v>
      </c>
      <c r="K42" s="57">
        <f>J42</f>
        <v>0</v>
      </c>
      <c r="L42" s="58"/>
      <c r="M42" s="47"/>
    </row>
    <row r="43" spans="1:14" x14ac:dyDescent="0.2">
      <c r="A43" s="59"/>
      <c r="B43" s="142"/>
      <c r="C43" s="54">
        <v>2</v>
      </c>
      <c r="D43" s="75"/>
      <c r="E43" s="47"/>
      <c r="F43" s="54"/>
      <c r="G43" s="54"/>
      <c r="H43" s="54"/>
      <c r="I43" s="54"/>
      <c r="J43" s="56">
        <f t="shared" si="12"/>
        <v>0</v>
      </c>
      <c r="K43" s="57">
        <f t="shared" ref="K43" si="13">J43</f>
        <v>0</v>
      </c>
      <c r="L43" s="58"/>
      <c r="M43" s="47"/>
    </row>
    <row r="44" spans="1:14" x14ac:dyDescent="0.2">
      <c r="A44" s="59"/>
      <c r="B44" s="143"/>
      <c r="C44" s="77" t="s">
        <v>66</v>
      </c>
      <c r="D44" s="78"/>
      <c r="E44" s="79"/>
      <c r="F44" s="78"/>
      <c r="G44" s="78"/>
      <c r="H44" s="78"/>
      <c r="I44" s="80"/>
      <c r="J44" s="81">
        <f>SUM(J42:J43)</f>
        <v>0</v>
      </c>
      <c r="K44" s="82">
        <f>SUM(K42:K43)</f>
        <v>0</v>
      </c>
      <c r="L44" s="83">
        <f>SUM(L42:L43)</f>
        <v>0</v>
      </c>
      <c r="M44" s="47"/>
      <c r="N44" s="65"/>
    </row>
    <row r="45" spans="1:14" ht="14" x14ac:dyDescent="0.3">
      <c r="A45" s="48"/>
      <c r="B45" s="71" t="s">
        <v>23</v>
      </c>
      <c r="C45" s="72" t="s">
        <v>70</v>
      </c>
      <c r="D45" s="73"/>
      <c r="E45" s="73"/>
      <c r="F45" s="73"/>
      <c r="G45" s="73"/>
      <c r="H45" s="73"/>
      <c r="I45" s="73"/>
      <c r="J45" s="74"/>
      <c r="K45" s="74"/>
      <c r="L45" s="74"/>
      <c r="M45" s="70"/>
    </row>
    <row r="46" spans="1:14" x14ac:dyDescent="0.2">
      <c r="A46" s="59"/>
      <c r="B46" s="141"/>
      <c r="C46" s="54">
        <v>1</v>
      </c>
      <c r="D46" s="75"/>
      <c r="E46" s="47"/>
      <c r="F46" s="54"/>
      <c r="G46" s="54"/>
      <c r="H46" s="54"/>
      <c r="I46" s="54"/>
      <c r="J46" s="56">
        <f t="shared" ref="J46:J47" si="14">F46*G46*H46</f>
        <v>0</v>
      </c>
      <c r="K46" s="57">
        <f>J46</f>
        <v>0</v>
      </c>
      <c r="L46" s="58"/>
      <c r="M46" s="47"/>
    </row>
    <row r="47" spans="1:14" x14ac:dyDescent="0.2">
      <c r="A47" s="59"/>
      <c r="B47" s="142"/>
      <c r="C47" s="54">
        <v>2</v>
      </c>
      <c r="D47" s="75"/>
      <c r="E47" s="47"/>
      <c r="F47" s="54"/>
      <c r="G47" s="54"/>
      <c r="H47" s="54"/>
      <c r="I47" s="54"/>
      <c r="J47" s="56">
        <f t="shared" si="14"/>
        <v>0</v>
      </c>
      <c r="K47" s="57">
        <f t="shared" ref="K47" si="15">J47</f>
        <v>0</v>
      </c>
      <c r="L47" s="58"/>
      <c r="M47" s="47"/>
    </row>
    <row r="48" spans="1:14" x14ac:dyDescent="0.2">
      <c r="A48" s="59"/>
      <c r="B48" s="143"/>
      <c r="C48" s="77" t="s">
        <v>66</v>
      </c>
      <c r="D48" s="78"/>
      <c r="E48" s="79"/>
      <c r="F48" s="78"/>
      <c r="G48" s="78"/>
      <c r="H48" s="78"/>
      <c r="I48" s="80"/>
      <c r="J48" s="81">
        <f>SUM(J46:J47)</f>
        <v>0</v>
      </c>
      <c r="K48" s="82">
        <f>SUM(K46:K47)</f>
        <v>0</v>
      </c>
      <c r="L48" s="83">
        <f>SUM(L46:L47)</f>
        <v>0</v>
      </c>
      <c r="M48" s="47"/>
      <c r="N48" s="65"/>
    </row>
    <row r="49" spans="1:14" ht="14" x14ac:dyDescent="0.3">
      <c r="A49" s="48"/>
      <c r="B49" s="71" t="s">
        <v>24</v>
      </c>
      <c r="C49" s="72" t="s">
        <v>67</v>
      </c>
      <c r="D49" s="73"/>
      <c r="E49" s="73"/>
      <c r="F49" s="73"/>
      <c r="G49" s="73"/>
      <c r="H49" s="73"/>
      <c r="I49" s="73"/>
      <c r="J49" s="74"/>
      <c r="K49" s="74"/>
      <c r="L49" s="74"/>
      <c r="M49" s="70"/>
    </row>
    <row r="50" spans="1:14" x14ac:dyDescent="0.2">
      <c r="A50" s="59"/>
      <c r="B50" s="144"/>
      <c r="C50" s="54">
        <v>1</v>
      </c>
      <c r="D50" s="75"/>
      <c r="E50" s="47"/>
      <c r="F50" s="54"/>
      <c r="G50" s="54"/>
      <c r="H50" s="54"/>
      <c r="I50" s="54"/>
      <c r="J50" s="56">
        <f t="shared" ref="J50:J51" si="16">F50*G50*H50</f>
        <v>0</v>
      </c>
      <c r="K50" s="57">
        <f>J50</f>
        <v>0</v>
      </c>
      <c r="L50" s="58"/>
      <c r="M50" s="47"/>
    </row>
    <row r="51" spans="1:14" x14ac:dyDescent="0.2">
      <c r="A51" s="59"/>
      <c r="B51" s="145"/>
      <c r="C51" s="54">
        <v>2</v>
      </c>
      <c r="D51" s="75"/>
      <c r="E51" s="47"/>
      <c r="F51" s="54"/>
      <c r="G51" s="54"/>
      <c r="H51" s="54"/>
      <c r="I51" s="54"/>
      <c r="J51" s="56">
        <f t="shared" si="16"/>
        <v>0</v>
      </c>
      <c r="K51" s="57">
        <f t="shared" ref="K51" si="17">J51</f>
        <v>0</v>
      </c>
      <c r="L51" s="58"/>
      <c r="M51" s="47"/>
    </row>
    <row r="52" spans="1:14" x14ac:dyDescent="0.2">
      <c r="A52" s="59"/>
      <c r="B52" s="145"/>
      <c r="C52" s="84" t="s">
        <v>66</v>
      </c>
      <c r="D52" s="78"/>
      <c r="E52" s="79"/>
      <c r="F52" s="78"/>
      <c r="G52" s="78"/>
      <c r="H52" s="78"/>
      <c r="I52" s="80"/>
      <c r="J52" s="81">
        <f t="shared" ref="J52:L52" si="18">SUM(J50:J51)</f>
        <v>0</v>
      </c>
      <c r="K52" s="82">
        <f t="shared" si="18"/>
        <v>0</v>
      </c>
      <c r="L52" s="83">
        <f t="shared" si="18"/>
        <v>0</v>
      </c>
      <c r="M52" s="47"/>
      <c r="N52" s="65"/>
    </row>
    <row r="53" spans="1:14" ht="15" customHeight="1" x14ac:dyDescent="0.2">
      <c r="A53" s="59"/>
      <c r="B53" s="139" t="s">
        <v>68</v>
      </c>
      <c r="C53" s="140"/>
      <c r="D53" s="85"/>
      <c r="E53" s="86"/>
      <c r="F53" s="85"/>
      <c r="G53" s="85"/>
      <c r="H53" s="85"/>
      <c r="I53" s="87"/>
      <c r="J53" s="88">
        <f>SUM(J40,J44,J48,J52)</f>
        <v>0</v>
      </c>
      <c r="K53" s="88">
        <f t="shared" ref="K53:L53" si="19">SUM(K40,K44,K48,K52)</f>
        <v>0</v>
      </c>
      <c r="L53" s="88">
        <f t="shared" si="19"/>
        <v>0</v>
      </c>
      <c r="M53" s="47"/>
      <c r="N53" s="65"/>
    </row>
    <row r="54" spans="1:14" ht="14" x14ac:dyDescent="0.3">
      <c r="A54" s="48"/>
      <c r="B54" s="67" t="s">
        <v>74</v>
      </c>
      <c r="C54" s="68" t="s">
        <v>73</v>
      </c>
      <c r="D54" s="132" t="s">
        <v>94</v>
      </c>
      <c r="E54" s="52"/>
      <c r="F54" s="52"/>
      <c r="G54" s="52"/>
      <c r="H54" s="52"/>
      <c r="I54" s="52"/>
      <c r="J54" s="69"/>
      <c r="K54" s="69"/>
      <c r="L54" s="69"/>
      <c r="M54" s="70"/>
    </row>
    <row r="55" spans="1:14" ht="14" x14ac:dyDescent="0.3">
      <c r="A55" s="48"/>
      <c r="B55" s="71" t="s">
        <v>75</v>
      </c>
      <c r="C55" s="72" t="s">
        <v>69</v>
      </c>
      <c r="D55" s="73"/>
      <c r="E55" s="73"/>
      <c r="F55" s="73"/>
      <c r="G55" s="73"/>
      <c r="H55" s="73"/>
      <c r="I55" s="73"/>
      <c r="J55" s="74"/>
      <c r="K55" s="74"/>
      <c r="L55" s="74"/>
      <c r="M55" s="70"/>
    </row>
    <row r="56" spans="1:14" x14ac:dyDescent="0.2">
      <c r="A56" s="59"/>
      <c r="B56" s="141"/>
      <c r="C56" s="54">
        <v>1</v>
      </c>
      <c r="D56" s="75"/>
      <c r="E56" s="47"/>
      <c r="F56" s="54"/>
      <c r="G56" s="54"/>
      <c r="H56" s="54"/>
      <c r="I56" s="54"/>
      <c r="J56" s="56">
        <f t="shared" ref="J56:J57" si="20">F56*G56*H56</f>
        <v>0</v>
      </c>
      <c r="K56" s="57">
        <f>J56</f>
        <v>0</v>
      </c>
      <c r="L56" s="58"/>
      <c r="M56" s="47"/>
    </row>
    <row r="57" spans="1:14" x14ac:dyDescent="0.2">
      <c r="A57" s="59"/>
      <c r="B57" s="142"/>
      <c r="C57" s="54">
        <v>2</v>
      </c>
      <c r="D57" s="75"/>
      <c r="E57" s="47"/>
      <c r="F57" s="54"/>
      <c r="G57" s="54"/>
      <c r="H57" s="54"/>
      <c r="I57" s="54"/>
      <c r="J57" s="56">
        <f t="shared" si="20"/>
        <v>0</v>
      </c>
      <c r="K57" s="57">
        <f t="shared" ref="K57" si="21">J57</f>
        <v>0</v>
      </c>
      <c r="L57" s="58"/>
      <c r="M57" s="47"/>
    </row>
    <row r="58" spans="1:14" x14ac:dyDescent="0.2">
      <c r="A58" s="59"/>
      <c r="B58" s="143"/>
      <c r="C58" s="77" t="s">
        <v>66</v>
      </c>
      <c r="D58" s="78"/>
      <c r="E58" s="79"/>
      <c r="F58" s="78"/>
      <c r="G58" s="78"/>
      <c r="H58" s="78"/>
      <c r="I58" s="80"/>
      <c r="J58" s="81">
        <f>SUM(J56:J57)</f>
        <v>0</v>
      </c>
      <c r="K58" s="82">
        <f>SUM(K56:K57)</f>
        <v>0</v>
      </c>
      <c r="L58" s="83">
        <f>SUM(L56:L57)</f>
        <v>0</v>
      </c>
      <c r="M58" s="47"/>
      <c r="N58" s="65"/>
    </row>
    <row r="59" spans="1:14" ht="14" x14ac:dyDescent="0.3">
      <c r="A59" s="48"/>
      <c r="B59" s="71" t="s">
        <v>76</v>
      </c>
      <c r="C59" s="72" t="s">
        <v>67</v>
      </c>
      <c r="D59" s="73"/>
      <c r="E59" s="73"/>
      <c r="F59" s="73"/>
      <c r="G59" s="73"/>
      <c r="H59" s="73"/>
      <c r="I59" s="73"/>
      <c r="J59" s="74"/>
      <c r="K59" s="74"/>
      <c r="L59" s="74"/>
      <c r="M59" s="70"/>
    </row>
    <row r="60" spans="1:14" x14ac:dyDescent="0.2">
      <c r="A60" s="59"/>
      <c r="B60" s="141"/>
      <c r="C60" s="54">
        <v>1</v>
      </c>
      <c r="D60" s="75"/>
      <c r="E60" s="47"/>
      <c r="F60" s="54"/>
      <c r="G60" s="54"/>
      <c r="H60" s="54"/>
      <c r="I60" s="54"/>
      <c r="J60" s="56">
        <f t="shared" ref="J60:J61" si="22">F60*G60*H60</f>
        <v>0</v>
      </c>
      <c r="K60" s="57">
        <f>J60</f>
        <v>0</v>
      </c>
      <c r="L60" s="58"/>
      <c r="M60" s="47"/>
    </row>
    <row r="61" spans="1:14" x14ac:dyDescent="0.2">
      <c r="A61" s="59"/>
      <c r="B61" s="142"/>
      <c r="C61" s="54">
        <v>2</v>
      </c>
      <c r="D61" s="75"/>
      <c r="E61" s="47"/>
      <c r="F61" s="54"/>
      <c r="G61" s="54"/>
      <c r="H61" s="54"/>
      <c r="I61" s="54"/>
      <c r="J61" s="56">
        <f t="shared" si="22"/>
        <v>0</v>
      </c>
      <c r="K61" s="57">
        <f t="shared" ref="K61" si="23">J61</f>
        <v>0</v>
      </c>
      <c r="L61" s="58"/>
      <c r="M61" s="47"/>
    </row>
    <row r="62" spans="1:14" x14ac:dyDescent="0.2">
      <c r="A62" s="59"/>
      <c r="B62" s="148"/>
      <c r="C62" s="77" t="s">
        <v>66</v>
      </c>
      <c r="D62" s="78"/>
      <c r="E62" s="79"/>
      <c r="F62" s="78"/>
      <c r="G62" s="78"/>
      <c r="H62" s="78"/>
      <c r="I62" s="80"/>
      <c r="J62" s="81">
        <f>SUM(J60:J61)</f>
        <v>0</v>
      </c>
      <c r="K62" s="82">
        <f>SUM(K60:K61)</f>
        <v>0</v>
      </c>
      <c r="L62" s="83">
        <f>SUM(L60:L61)</f>
        <v>0</v>
      </c>
      <c r="M62" s="47"/>
      <c r="N62" s="65"/>
    </row>
    <row r="63" spans="1:14" ht="15" customHeight="1" x14ac:dyDescent="0.2">
      <c r="A63" s="59"/>
      <c r="B63" s="139" t="s">
        <v>68</v>
      </c>
      <c r="C63" s="140"/>
      <c r="D63" s="85"/>
      <c r="E63" s="86"/>
      <c r="F63" s="85"/>
      <c r="G63" s="85"/>
      <c r="H63" s="85"/>
      <c r="I63" s="87"/>
      <c r="J63" s="88">
        <f>SUM(J58,J62)</f>
        <v>0</v>
      </c>
      <c r="K63" s="88">
        <f t="shared" ref="K63:L63" si="24">SUM(K58,K62)</f>
        <v>0</v>
      </c>
      <c r="L63" s="88">
        <f t="shared" si="24"/>
        <v>0</v>
      </c>
      <c r="M63" s="47"/>
      <c r="N63" s="65"/>
    </row>
    <row r="64" spans="1:14" ht="15" customHeight="1" x14ac:dyDescent="0.2">
      <c r="A64" s="89" t="s">
        <v>81</v>
      </c>
      <c r="B64" s="90"/>
      <c r="C64" s="91"/>
      <c r="D64" s="92"/>
      <c r="E64" s="93"/>
      <c r="F64" s="92"/>
      <c r="G64" s="92"/>
      <c r="H64" s="92"/>
      <c r="I64" s="94"/>
      <c r="J64" s="95"/>
      <c r="K64" s="95"/>
      <c r="L64" s="95"/>
      <c r="M64" s="47"/>
      <c r="N64" s="65"/>
    </row>
    <row r="65" spans="1:13" ht="15.75" customHeight="1" x14ac:dyDescent="0.2">
      <c r="A65" s="96" t="s">
        <v>41</v>
      </c>
      <c r="B65" s="50"/>
      <c r="C65" s="50"/>
      <c r="D65" s="62"/>
      <c r="E65" s="62"/>
      <c r="F65" s="62"/>
      <c r="G65" s="62"/>
      <c r="H65" s="62"/>
      <c r="I65" s="97"/>
      <c r="J65" s="98"/>
      <c r="K65" s="98"/>
      <c r="L65" s="98"/>
      <c r="M65" s="47"/>
    </row>
    <row r="66" spans="1:13" ht="15.75" customHeight="1" x14ac:dyDescent="0.2">
      <c r="A66" s="99" t="s">
        <v>45</v>
      </c>
      <c r="B66" s="100"/>
      <c r="C66" s="100"/>
      <c r="D66" s="100"/>
      <c r="E66" s="100"/>
      <c r="F66" s="100"/>
      <c r="G66" s="100"/>
      <c r="H66" s="100"/>
      <c r="I66" s="100"/>
      <c r="J66" s="101"/>
      <c r="K66" s="101"/>
      <c r="L66" s="101"/>
      <c r="M66" s="47"/>
    </row>
    <row r="67" spans="1:13" ht="15.75" customHeight="1" x14ac:dyDescent="0.2">
      <c r="A67" s="102" t="s">
        <v>31</v>
      </c>
      <c r="B67" s="100" t="s">
        <v>44</v>
      </c>
      <c r="C67" s="100"/>
      <c r="D67" s="100"/>
      <c r="E67" s="100"/>
      <c r="F67" s="100"/>
      <c r="G67" s="100"/>
      <c r="H67" s="100"/>
      <c r="I67" s="100"/>
      <c r="J67" s="101"/>
      <c r="K67" s="101"/>
      <c r="L67" s="101"/>
      <c r="M67" s="47"/>
    </row>
    <row r="68" spans="1:13" ht="19.5" x14ac:dyDescent="0.2">
      <c r="A68" s="53"/>
      <c r="B68" s="103" t="s">
        <v>16</v>
      </c>
      <c r="C68" s="103" t="s">
        <v>14</v>
      </c>
      <c r="D68" s="104" t="s">
        <v>34</v>
      </c>
      <c r="E68" s="105" t="s">
        <v>97</v>
      </c>
      <c r="F68" s="103"/>
      <c r="G68" s="103"/>
      <c r="H68" s="103"/>
      <c r="I68" s="103"/>
      <c r="J68" s="106"/>
      <c r="K68" s="106"/>
      <c r="L68" s="107"/>
      <c r="M68" s="47"/>
    </row>
    <row r="69" spans="1:13" x14ac:dyDescent="0.2">
      <c r="A69" s="59"/>
      <c r="B69" s="141"/>
      <c r="C69" s="54">
        <v>1</v>
      </c>
      <c r="D69" s="108" t="s">
        <v>36</v>
      </c>
      <c r="E69" s="47"/>
      <c r="F69" s="54"/>
      <c r="G69" s="54"/>
      <c r="H69" s="54"/>
      <c r="I69" s="54" t="s">
        <v>30</v>
      </c>
      <c r="J69" s="56">
        <f t="shared" ref="J69:J72" si="25">F69*G69*H69</f>
        <v>0</v>
      </c>
      <c r="K69" s="57">
        <f>J69</f>
        <v>0</v>
      </c>
      <c r="L69" s="58"/>
      <c r="M69" s="47"/>
    </row>
    <row r="70" spans="1:13" x14ac:dyDescent="0.2">
      <c r="A70" s="59"/>
      <c r="B70" s="142"/>
      <c r="C70" s="54">
        <v>2</v>
      </c>
      <c r="D70" s="108" t="s">
        <v>37</v>
      </c>
      <c r="E70" s="47"/>
      <c r="F70" s="54"/>
      <c r="G70" s="54"/>
      <c r="H70" s="54"/>
      <c r="I70" s="54" t="s">
        <v>30</v>
      </c>
      <c r="J70" s="56">
        <f t="shared" si="25"/>
        <v>0</v>
      </c>
      <c r="K70" s="57">
        <f t="shared" ref="K70:K72" si="26">J70</f>
        <v>0</v>
      </c>
      <c r="L70" s="58"/>
      <c r="M70" s="47"/>
    </row>
    <row r="71" spans="1:13" x14ac:dyDescent="0.2">
      <c r="A71" s="59"/>
      <c r="B71" s="142"/>
      <c r="C71" s="54">
        <v>3</v>
      </c>
      <c r="D71" s="108" t="s">
        <v>38</v>
      </c>
      <c r="E71" s="47"/>
      <c r="F71" s="54"/>
      <c r="G71" s="54"/>
      <c r="H71" s="54"/>
      <c r="I71" s="54" t="s">
        <v>30</v>
      </c>
      <c r="J71" s="56">
        <f t="shared" si="25"/>
        <v>0</v>
      </c>
      <c r="K71" s="57">
        <f t="shared" si="26"/>
        <v>0</v>
      </c>
      <c r="L71" s="58"/>
      <c r="M71" s="47"/>
    </row>
    <row r="72" spans="1:13" x14ac:dyDescent="0.2">
      <c r="A72" s="59"/>
      <c r="B72" s="142"/>
      <c r="C72" s="109">
        <v>4</v>
      </c>
      <c r="D72" s="110" t="s">
        <v>39</v>
      </c>
      <c r="E72" s="111"/>
      <c r="F72" s="109"/>
      <c r="G72" s="109"/>
      <c r="H72" s="109"/>
      <c r="I72" s="109" t="s">
        <v>30</v>
      </c>
      <c r="J72" s="56">
        <f t="shared" si="25"/>
        <v>0</v>
      </c>
      <c r="K72" s="57">
        <f t="shared" si="26"/>
        <v>0</v>
      </c>
      <c r="L72" s="58"/>
      <c r="M72" s="47"/>
    </row>
    <row r="73" spans="1:13" x14ac:dyDescent="0.2">
      <c r="A73" s="59"/>
      <c r="B73" s="143"/>
      <c r="C73" s="77" t="s">
        <v>32</v>
      </c>
      <c r="D73" s="78"/>
      <c r="E73" s="79"/>
      <c r="F73" s="78"/>
      <c r="G73" s="78"/>
      <c r="H73" s="78"/>
      <c r="I73" s="80"/>
      <c r="J73" s="81">
        <f>SUM(J69:J72)</f>
        <v>0</v>
      </c>
      <c r="K73" s="82">
        <f>SUM(K69:K72)</f>
        <v>0</v>
      </c>
      <c r="L73" s="83">
        <f>SUM(L69:L72)</f>
        <v>0</v>
      </c>
      <c r="M73" s="47"/>
    </row>
    <row r="74" spans="1:13" ht="19.5" x14ac:dyDescent="0.2">
      <c r="A74" s="59"/>
      <c r="B74" s="103" t="s">
        <v>17</v>
      </c>
      <c r="C74" s="112" t="s">
        <v>9</v>
      </c>
      <c r="D74" s="113" t="s">
        <v>35</v>
      </c>
      <c r="E74" s="105" t="s">
        <v>97</v>
      </c>
      <c r="F74" s="114"/>
      <c r="G74" s="114"/>
      <c r="H74" s="114"/>
      <c r="I74" s="115"/>
      <c r="J74" s="116"/>
      <c r="K74" s="116"/>
      <c r="L74" s="116"/>
      <c r="M74" s="47"/>
    </row>
    <row r="75" spans="1:13" x14ac:dyDescent="0.2">
      <c r="A75" s="59"/>
      <c r="B75" s="141"/>
      <c r="C75" s="54">
        <v>1</v>
      </c>
      <c r="D75" s="117"/>
      <c r="E75" s="117"/>
      <c r="F75" s="118"/>
      <c r="G75" s="118"/>
      <c r="H75" s="118"/>
      <c r="I75" s="54" t="s">
        <v>1</v>
      </c>
      <c r="J75" s="56">
        <f t="shared" ref="J75:J78" si="27">F75*G75*H75</f>
        <v>0</v>
      </c>
      <c r="K75" s="57">
        <f>J75</f>
        <v>0</v>
      </c>
      <c r="L75" s="58">
        <v>0</v>
      </c>
      <c r="M75" s="47"/>
    </row>
    <row r="76" spans="1:13" x14ac:dyDescent="0.2">
      <c r="A76" s="59"/>
      <c r="B76" s="142"/>
      <c r="C76" s="54">
        <v>2</v>
      </c>
      <c r="D76" s="117"/>
      <c r="E76" s="117"/>
      <c r="F76" s="54"/>
      <c r="G76" s="118"/>
      <c r="H76" s="118"/>
      <c r="I76" s="54" t="s">
        <v>1</v>
      </c>
      <c r="J76" s="56">
        <f t="shared" si="27"/>
        <v>0</v>
      </c>
      <c r="K76" s="57">
        <f t="shared" ref="K76:K78" si="28">J76</f>
        <v>0</v>
      </c>
      <c r="L76" s="58">
        <v>0</v>
      </c>
      <c r="M76" s="47"/>
    </row>
    <row r="77" spans="1:13" x14ac:dyDescent="0.2">
      <c r="A77" s="59"/>
      <c r="B77" s="142"/>
      <c r="C77" s="54">
        <v>3</v>
      </c>
      <c r="D77" s="117"/>
      <c r="E77" s="117"/>
      <c r="F77" s="54"/>
      <c r="G77" s="118"/>
      <c r="H77" s="118"/>
      <c r="I77" s="54" t="s">
        <v>1</v>
      </c>
      <c r="J77" s="56">
        <f t="shared" si="27"/>
        <v>0</v>
      </c>
      <c r="K77" s="57">
        <f t="shared" si="28"/>
        <v>0</v>
      </c>
      <c r="L77" s="58">
        <v>0</v>
      </c>
      <c r="M77" s="47"/>
    </row>
    <row r="78" spans="1:13" x14ac:dyDescent="0.2">
      <c r="A78" s="59"/>
      <c r="B78" s="142"/>
      <c r="C78" s="109">
        <v>4</v>
      </c>
      <c r="D78" s="119"/>
      <c r="E78" s="119"/>
      <c r="F78" s="109"/>
      <c r="G78" s="109"/>
      <c r="H78" s="109"/>
      <c r="I78" s="54" t="s">
        <v>1</v>
      </c>
      <c r="J78" s="56">
        <f t="shared" si="27"/>
        <v>0</v>
      </c>
      <c r="K78" s="57">
        <f t="shared" si="28"/>
        <v>0</v>
      </c>
      <c r="L78" s="58">
        <v>0</v>
      </c>
      <c r="M78" s="47"/>
    </row>
    <row r="79" spans="1:13" x14ac:dyDescent="0.2">
      <c r="A79" s="59"/>
      <c r="B79" s="143"/>
      <c r="C79" s="77" t="s">
        <v>33</v>
      </c>
      <c r="D79" s="78"/>
      <c r="E79" s="79"/>
      <c r="F79" s="78"/>
      <c r="G79" s="78"/>
      <c r="H79" s="120"/>
      <c r="I79" s="80"/>
      <c r="J79" s="82">
        <f>SUM(J75:J78)</f>
        <v>0</v>
      </c>
      <c r="K79" s="82">
        <f>SUM(K75:K78)</f>
        <v>0</v>
      </c>
      <c r="L79" s="83">
        <f>SUM(L75:L78)</f>
        <v>0</v>
      </c>
      <c r="M79" s="47"/>
    </row>
    <row r="80" spans="1:13" x14ac:dyDescent="0.2">
      <c r="A80" s="96" t="s">
        <v>42</v>
      </c>
      <c r="B80" s="50"/>
      <c r="C80" s="50"/>
      <c r="D80" s="62"/>
      <c r="E80" s="62"/>
      <c r="F80" s="62"/>
      <c r="G80" s="62"/>
      <c r="H80" s="62"/>
      <c r="I80" s="97"/>
      <c r="J80" s="63">
        <f>J79+J73</f>
        <v>0</v>
      </c>
      <c r="K80" s="63">
        <f t="shared" ref="K80:L80" si="29">K79+K73</f>
        <v>0</v>
      </c>
      <c r="L80" s="63">
        <f t="shared" si="29"/>
        <v>0</v>
      </c>
      <c r="M80" s="47"/>
    </row>
    <row r="81" spans="1:13" ht="20.25" customHeight="1" x14ac:dyDescent="0.2">
      <c r="A81" s="121" t="s">
        <v>40</v>
      </c>
      <c r="B81" s="122"/>
      <c r="C81" s="122"/>
      <c r="D81" s="46"/>
      <c r="E81" s="46"/>
      <c r="F81" s="46"/>
      <c r="G81" s="46"/>
      <c r="H81" s="46"/>
      <c r="I81" s="123"/>
      <c r="J81" s="124">
        <f>J80+J65</f>
        <v>0</v>
      </c>
      <c r="K81" s="124">
        <f>K80+K65</f>
        <v>0</v>
      </c>
      <c r="L81" s="125">
        <f>L80+L65</f>
        <v>0</v>
      </c>
      <c r="M81" s="47"/>
    </row>
    <row r="84" spans="1:13" ht="15.5" x14ac:dyDescent="0.35">
      <c r="D84" s="130" t="s">
        <v>82</v>
      </c>
    </row>
    <row r="85" spans="1:13" ht="137.5" x14ac:dyDescent="0.25">
      <c r="D85" s="131" t="s">
        <v>96</v>
      </c>
    </row>
    <row r="86" spans="1:13" ht="15.5" x14ac:dyDescent="0.35">
      <c r="D86" s="128"/>
    </row>
    <row r="87" spans="1:13" ht="15.5" x14ac:dyDescent="0.35">
      <c r="D87" s="129"/>
    </row>
    <row r="88" spans="1:13" ht="15.5" x14ac:dyDescent="0.35">
      <c r="D88" s="129"/>
    </row>
    <row r="89" spans="1:13" ht="15.5" x14ac:dyDescent="0.35">
      <c r="D89" s="129"/>
    </row>
    <row r="90" spans="1:13" ht="15.5" x14ac:dyDescent="0.35">
      <c r="D90" s="129"/>
    </row>
    <row r="91" spans="1:13" ht="15.5" x14ac:dyDescent="0.35">
      <c r="D91" s="129"/>
    </row>
    <row r="92" spans="1:13" ht="15.5" x14ac:dyDescent="0.35">
      <c r="D92" s="129"/>
    </row>
    <row r="93" spans="1:13" ht="15.5" x14ac:dyDescent="0.35">
      <c r="D93" s="129"/>
    </row>
  </sheetData>
  <mergeCells count="34">
    <mergeCell ref="B60:B62"/>
    <mergeCell ref="B35:C35"/>
    <mergeCell ref="B63:C63"/>
    <mergeCell ref="B69:B73"/>
    <mergeCell ref="B75:B79"/>
    <mergeCell ref="B38:B40"/>
    <mergeCell ref="B42:B44"/>
    <mergeCell ref="B46:B48"/>
    <mergeCell ref="B50:B52"/>
    <mergeCell ref="B53:C53"/>
    <mergeCell ref="B56:B58"/>
    <mergeCell ref="B16:B19"/>
    <mergeCell ref="M16:M19"/>
    <mergeCell ref="B24:B26"/>
    <mergeCell ref="B28:B30"/>
    <mergeCell ref="B32:B34"/>
    <mergeCell ref="M10:M12"/>
    <mergeCell ref="B13:L13"/>
    <mergeCell ref="A7:C7"/>
    <mergeCell ref="A10:C12"/>
    <mergeCell ref="D10:D12"/>
    <mergeCell ref="E10:E12"/>
    <mergeCell ref="F10:F12"/>
    <mergeCell ref="G10:G12"/>
    <mergeCell ref="H10:H12"/>
    <mergeCell ref="I10:I12"/>
    <mergeCell ref="J10:J12"/>
    <mergeCell ref="K10:L10"/>
    <mergeCell ref="A6:C6"/>
    <mergeCell ref="A1:J1"/>
    <mergeCell ref="K1:L1"/>
    <mergeCell ref="A3:C3"/>
    <mergeCell ref="A4:C4"/>
    <mergeCell ref="A5:C5"/>
  </mergeCells>
  <printOptions horizontalCentered="1"/>
  <pageMargins left="0.47244094488188981" right="0.70866141732283472" top="0.35433070866141736" bottom="0.51181102362204722" header="0.23622047244094491" footer="0.31496062992125984"/>
  <pageSetup scale="70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zoomScale="90" zoomScaleNormal="90" workbookViewId="0">
      <selection activeCell="G30" sqref="G30"/>
    </sheetView>
  </sheetViews>
  <sheetFormatPr defaultColWidth="8.81640625" defaultRowHeight="14.5" x14ac:dyDescent="0.35"/>
  <cols>
    <col min="1" max="1" width="4.6328125" customWidth="1"/>
    <col min="2" max="2" width="41.453125" customWidth="1"/>
    <col min="3" max="3" width="14.1796875" style="6" customWidth="1"/>
    <col min="4" max="4" width="10.1796875" style="7" customWidth="1"/>
    <col min="5" max="5" width="14.1796875" style="6" customWidth="1"/>
    <col min="6" max="6" width="12.1796875" style="7" customWidth="1"/>
    <col min="7" max="7" width="14.1796875" style="6" customWidth="1"/>
    <col min="8" max="8" width="12.1796875" style="7" customWidth="1"/>
    <col min="9" max="9" width="14.1796875" style="6" customWidth="1"/>
    <col min="10" max="10" width="12.1796875" style="7" customWidth="1"/>
    <col min="11" max="11" width="14.1796875" style="6" customWidth="1"/>
    <col min="12" max="12" width="12.1796875" style="7" customWidth="1"/>
    <col min="13" max="13" width="14.1796875" style="6" customWidth="1"/>
    <col min="14" max="14" width="12.1796875" style="7" customWidth="1"/>
  </cols>
  <sheetData>
    <row r="1" spans="1:14" s="1" customFormat="1" ht="22" x14ac:dyDescent="0.35">
      <c r="A1" s="188" t="s">
        <v>59</v>
      </c>
      <c r="B1" s="189"/>
      <c r="C1" s="189"/>
      <c r="D1" s="189"/>
      <c r="E1" s="189"/>
      <c r="F1" s="189"/>
      <c r="G1" s="189"/>
      <c r="H1" s="189"/>
      <c r="I1"/>
      <c r="J1"/>
      <c r="K1"/>
    </row>
    <row r="2" spans="1:14" s="1" customFormat="1" ht="15.5" x14ac:dyDescent="0.25">
      <c r="A2" s="33" t="s">
        <v>46</v>
      </c>
      <c r="B2" s="33"/>
      <c r="C2" s="14" t="e">
        <f>#REF!</f>
        <v>#REF!</v>
      </c>
      <c r="E2" s="13"/>
      <c r="F2" s="13"/>
      <c r="G2" s="13"/>
      <c r="J2" s="9"/>
      <c r="K2" s="2"/>
      <c r="L2" s="3"/>
    </row>
    <row r="3" spans="1:14" s="1" customFormat="1" ht="15.5" x14ac:dyDescent="0.25">
      <c r="A3" s="33" t="s">
        <v>62</v>
      </c>
      <c r="B3" s="33"/>
      <c r="C3" s="14" t="e">
        <f>#REF!</f>
        <v>#REF!</v>
      </c>
      <c r="E3" s="13"/>
      <c r="F3" s="13"/>
      <c r="G3" s="13"/>
      <c r="J3" s="9"/>
      <c r="K3" s="2"/>
      <c r="L3" s="3"/>
    </row>
    <row r="4" spans="1:14" s="1" customFormat="1" ht="15.5" x14ac:dyDescent="0.25">
      <c r="A4" s="33" t="s">
        <v>51</v>
      </c>
      <c r="B4" s="33"/>
      <c r="C4" s="14" t="e">
        <f>#REF!</f>
        <v>#REF!</v>
      </c>
      <c r="E4" s="13"/>
      <c r="F4" s="13"/>
      <c r="G4" s="13"/>
      <c r="J4" s="9"/>
      <c r="K4" s="2"/>
      <c r="L4" s="3"/>
    </row>
    <row r="5" spans="1:14" s="1" customFormat="1" ht="15.5" x14ac:dyDescent="0.25">
      <c r="A5" s="33" t="s">
        <v>52</v>
      </c>
      <c r="B5" s="33"/>
      <c r="C5" s="14" t="e">
        <f>#REF!</f>
        <v>#REF!</v>
      </c>
      <c r="E5" s="13"/>
      <c r="F5" s="13"/>
      <c r="G5" s="13"/>
      <c r="J5" s="9"/>
      <c r="K5" s="2"/>
      <c r="L5" s="3"/>
    </row>
    <row r="6" spans="1:14" s="1" customFormat="1" ht="15.5" x14ac:dyDescent="0.25">
      <c r="A6" s="33" t="s">
        <v>60</v>
      </c>
      <c r="B6" s="33"/>
      <c r="C6" s="14" t="e">
        <f>#REF!</f>
        <v>#REF!</v>
      </c>
      <c r="E6" s="13"/>
      <c r="F6" s="13"/>
      <c r="G6" s="13"/>
      <c r="J6" s="9"/>
      <c r="K6" s="2"/>
      <c r="L6" s="3"/>
    </row>
    <row r="7" spans="1:14" s="1" customFormat="1" ht="15.5" x14ac:dyDescent="0.25">
      <c r="A7" s="14" t="s">
        <v>48</v>
      </c>
      <c r="B7" s="14"/>
      <c r="C7" s="14" t="e">
        <f>#REF!</f>
        <v>#REF!</v>
      </c>
      <c r="E7" s="13"/>
      <c r="F7" s="13"/>
      <c r="G7" s="13"/>
      <c r="J7" s="9"/>
      <c r="K7" s="2"/>
      <c r="L7" s="3"/>
    </row>
    <row r="8" spans="1:14" s="1" customFormat="1" ht="15.5" x14ac:dyDescent="0.25">
      <c r="A8" s="14"/>
      <c r="B8" s="14"/>
      <c r="C8" s="14"/>
      <c r="D8" s="14"/>
      <c r="E8" s="13"/>
      <c r="F8" s="13"/>
      <c r="G8" s="13"/>
      <c r="H8" s="13"/>
      <c r="K8" s="9"/>
      <c r="L8" s="2"/>
      <c r="M8" s="3"/>
    </row>
    <row r="9" spans="1:14" x14ac:dyDescent="0.35">
      <c r="A9" s="186" t="s">
        <v>0</v>
      </c>
      <c r="B9" s="185" t="s">
        <v>6</v>
      </c>
      <c r="C9" s="183" t="s">
        <v>3</v>
      </c>
      <c r="D9" s="184"/>
      <c r="E9" s="190" t="s">
        <v>4</v>
      </c>
      <c r="F9" s="191"/>
      <c r="G9" s="194" t="s">
        <v>56</v>
      </c>
      <c r="H9" s="192" t="s">
        <v>57</v>
      </c>
      <c r="I9"/>
      <c r="J9"/>
      <c r="K9"/>
      <c r="L9"/>
      <c r="M9"/>
      <c r="N9"/>
    </row>
    <row r="10" spans="1:14" x14ac:dyDescent="0.35">
      <c r="A10" s="187"/>
      <c r="B10" s="185"/>
      <c r="C10" s="21" t="s">
        <v>50</v>
      </c>
      <c r="D10" s="22" t="s">
        <v>7</v>
      </c>
      <c r="E10" s="23" t="s">
        <v>50</v>
      </c>
      <c r="F10" s="24" t="s">
        <v>7</v>
      </c>
      <c r="G10" s="195"/>
      <c r="H10" s="193"/>
    </row>
    <row r="11" spans="1:14" x14ac:dyDescent="0.35">
      <c r="A11" s="4">
        <v>1</v>
      </c>
      <c r="B11" s="5" t="s">
        <v>83</v>
      </c>
      <c r="C11" s="15"/>
      <c r="D11" s="8"/>
      <c r="E11" s="15"/>
      <c r="F11" s="8"/>
      <c r="G11" s="20"/>
      <c r="H11" s="182"/>
    </row>
    <row r="12" spans="1:14" x14ac:dyDescent="0.35">
      <c r="A12" s="4">
        <v>2</v>
      </c>
      <c r="B12" s="5" t="s">
        <v>84</v>
      </c>
      <c r="C12" s="15"/>
      <c r="D12" s="8"/>
      <c r="E12" s="15"/>
      <c r="F12" s="8"/>
      <c r="G12" s="20"/>
      <c r="H12" s="180"/>
    </row>
    <row r="13" spans="1:14" x14ac:dyDescent="0.35">
      <c r="A13" s="4">
        <v>3</v>
      </c>
      <c r="B13" s="5" t="s">
        <v>8</v>
      </c>
      <c r="C13" s="15"/>
      <c r="D13" s="8"/>
      <c r="E13" s="15"/>
      <c r="F13" s="8"/>
      <c r="G13" s="20"/>
      <c r="H13" s="180"/>
    </row>
    <row r="14" spans="1:14" s="12" customFormat="1" ht="18.75" customHeight="1" x14ac:dyDescent="0.35">
      <c r="A14" s="10"/>
      <c r="B14" s="10" t="s">
        <v>101</v>
      </c>
      <c r="C14" s="16"/>
      <c r="D14" s="11"/>
      <c r="E14" s="16"/>
      <c r="F14" s="11"/>
      <c r="G14" s="19"/>
      <c r="H14" s="181"/>
    </row>
    <row r="16" spans="1:14" ht="29" x14ac:dyDescent="0.35">
      <c r="A16" s="17" t="s">
        <v>0</v>
      </c>
      <c r="B16" s="18" t="s">
        <v>6</v>
      </c>
      <c r="C16" s="21" t="s">
        <v>53</v>
      </c>
      <c r="D16" s="22" t="s">
        <v>7</v>
      </c>
      <c r="E16" s="23" t="s">
        <v>53</v>
      </c>
      <c r="F16" s="24" t="s">
        <v>7</v>
      </c>
      <c r="G16" s="25" t="s">
        <v>56</v>
      </c>
      <c r="H16" s="26" t="s">
        <v>57</v>
      </c>
    </row>
    <row r="17" spans="1:14" x14ac:dyDescent="0.35">
      <c r="A17" s="4">
        <v>1</v>
      </c>
      <c r="B17" s="5" t="s">
        <v>83</v>
      </c>
      <c r="C17" s="15"/>
      <c r="D17" s="8"/>
      <c r="E17" s="15"/>
      <c r="F17" s="8"/>
      <c r="G17" s="20"/>
      <c r="H17" s="180"/>
    </row>
    <row r="18" spans="1:14" x14ac:dyDescent="0.35">
      <c r="A18" s="4">
        <v>2</v>
      </c>
      <c r="B18" s="5" t="s">
        <v>84</v>
      </c>
      <c r="C18" s="15"/>
      <c r="D18" s="8"/>
      <c r="E18" s="15"/>
      <c r="F18" s="8"/>
      <c r="G18" s="20"/>
      <c r="H18" s="180"/>
    </row>
    <row r="19" spans="1:14" x14ac:dyDescent="0.35">
      <c r="A19" s="4">
        <v>3</v>
      </c>
      <c r="B19" s="5" t="s">
        <v>8</v>
      </c>
      <c r="C19" s="15"/>
      <c r="D19" s="8"/>
      <c r="E19" s="15"/>
      <c r="F19" s="8"/>
      <c r="G19" s="20"/>
      <c r="H19" s="180"/>
    </row>
    <row r="20" spans="1:14" x14ac:dyDescent="0.35">
      <c r="A20" s="10"/>
      <c r="B20" s="10" t="s">
        <v>101</v>
      </c>
      <c r="C20" s="16"/>
      <c r="D20" s="11"/>
      <c r="E20" s="16"/>
      <c r="F20" s="11"/>
      <c r="G20" s="19"/>
      <c r="H20" s="181"/>
      <c r="I20"/>
      <c r="J20"/>
      <c r="K20"/>
      <c r="L20"/>
      <c r="M20"/>
      <c r="N20"/>
    </row>
    <row r="21" spans="1:14" x14ac:dyDescent="0.35">
      <c r="D21"/>
      <c r="E21"/>
      <c r="F21"/>
      <c r="G21"/>
      <c r="H21"/>
      <c r="I21"/>
      <c r="J21"/>
      <c r="K21"/>
      <c r="L21"/>
      <c r="M21"/>
      <c r="N21"/>
    </row>
    <row r="22" spans="1:14" ht="29" x14ac:dyDescent="0.35">
      <c r="A22" s="27" t="s">
        <v>0</v>
      </c>
      <c r="B22" s="28" t="s">
        <v>6</v>
      </c>
      <c r="C22" s="29" t="s">
        <v>54</v>
      </c>
      <c r="D22" s="30" t="s">
        <v>7</v>
      </c>
      <c r="E22" s="31" t="s">
        <v>54</v>
      </c>
      <c r="F22" s="32" t="s">
        <v>7</v>
      </c>
      <c r="G22" s="25" t="s">
        <v>56</v>
      </c>
      <c r="H22" s="26" t="s">
        <v>57</v>
      </c>
      <c r="I22"/>
      <c r="J22"/>
      <c r="K22"/>
      <c r="L22"/>
      <c r="M22"/>
      <c r="N22"/>
    </row>
    <row r="23" spans="1:14" x14ac:dyDescent="0.35">
      <c r="A23" s="4">
        <v>1</v>
      </c>
      <c r="B23" s="5" t="s">
        <v>83</v>
      </c>
      <c r="C23" s="15"/>
      <c r="D23" s="8"/>
      <c r="E23" s="15"/>
      <c r="F23" s="8"/>
      <c r="G23" s="20"/>
      <c r="H23" s="182"/>
    </row>
    <row r="24" spans="1:14" x14ac:dyDescent="0.35">
      <c r="A24" s="4">
        <v>2</v>
      </c>
      <c r="B24" s="5" t="s">
        <v>84</v>
      </c>
      <c r="C24" s="15"/>
      <c r="D24" s="8"/>
      <c r="E24" s="15"/>
      <c r="F24" s="8"/>
      <c r="G24" s="20"/>
      <c r="H24" s="180"/>
    </row>
    <row r="25" spans="1:14" x14ac:dyDescent="0.35">
      <c r="A25" s="4">
        <v>3</v>
      </c>
      <c r="B25" s="5" t="s">
        <v>8</v>
      </c>
      <c r="C25" s="15"/>
      <c r="D25" s="8"/>
      <c r="E25" s="15"/>
      <c r="F25" s="8"/>
      <c r="G25" s="20"/>
      <c r="H25" s="180"/>
    </row>
    <row r="26" spans="1:14" x14ac:dyDescent="0.35">
      <c r="A26" s="10"/>
      <c r="B26" s="10" t="s">
        <v>101</v>
      </c>
      <c r="C26" s="16"/>
      <c r="D26" s="11"/>
      <c r="E26" s="16"/>
      <c r="F26" s="11"/>
      <c r="G26" s="19"/>
      <c r="H26" s="181"/>
    </row>
  </sheetData>
  <mergeCells count="10">
    <mergeCell ref="A1:H1"/>
    <mergeCell ref="E9:F9"/>
    <mergeCell ref="H9:H10"/>
    <mergeCell ref="G9:G10"/>
    <mergeCell ref="H11:H14"/>
    <mergeCell ref="H17:H20"/>
    <mergeCell ref="H23:H26"/>
    <mergeCell ref="C9:D9"/>
    <mergeCell ref="B9:B10"/>
    <mergeCell ref="A9:A1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Tatacara Pengisian</vt:lpstr>
      <vt:lpstr>Rincian (th1)</vt:lpstr>
      <vt:lpstr>Rincian (th2)</vt:lpstr>
      <vt:lpstr>Rincian (th3)</vt:lpstr>
      <vt:lpstr>Rekap</vt:lpstr>
      <vt:lpstr>Rekap!Print_Area</vt:lpstr>
      <vt:lpstr>'Rincian (th1)'!Print_Area</vt:lpstr>
      <vt:lpstr>'Rincian (th2)'!Print_Area</vt:lpstr>
      <vt:lpstr>'Rincian (th3)'!Print_Area</vt:lpstr>
      <vt:lpstr>'Rincian (th1)'!Print_Titles</vt:lpstr>
      <vt:lpstr>'Rincian (th2)'!Print_Titles</vt:lpstr>
      <vt:lpstr>'Rincian (th3)'!Print_Titles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Rahmawati</dc:creator>
  <cp:lastModifiedBy>Raida Khadija</cp:lastModifiedBy>
  <cp:lastPrinted>2018-03-20T07:30:13Z</cp:lastPrinted>
  <dcterms:created xsi:type="dcterms:W3CDTF">2013-09-02T01:28:53Z</dcterms:created>
  <dcterms:modified xsi:type="dcterms:W3CDTF">2026-07-01T03:45:32Z</dcterms:modified>
</cp:coreProperties>
</file>